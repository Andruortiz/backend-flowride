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showInkAnnotation="0" autoCompressPictures="0"/>
  <xr:revisionPtr revIDLastSave="838" documentId="11_2B12F34266173818E40513ABE57974CC7792B082" xr6:coauthVersionLast="47" xr6:coauthVersionMax="47" xr10:uidLastSave="{83ED3571-D59D-492E-B807-3D363B62D00E}"/>
  <bookViews>
    <workbookView xWindow="0" yWindow="0" windowWidth="0" windowHeight="0" firstSheet="12" activeTab="12" xr2:uid="{00000000-000D-0000-FFFF-FFFF00000000}"/>
  </bookViews>
  <sheets>
    <sheet name="Tradeoff QA" sheetId="1" r:id="rId1"/>
    <sheet name="Priorizacion QA" sheetId="2" r:id="rId2"/>
    <sheet name="StakeHolders" sheetId="3" r:id="rId3"/>
    <sheet name="Lluvia de escenarios" sheetId="4" r:id="rId4"/>
    <sheet name="Lluvia de escenarios 2" sheetId="15" r:id="rId5"/>
    <sheet name="Reglas dot voting" sheetId="5" r:id="rId6"/>
    <sheet name="Reglas ronda ampliada" sheetId="6" r:id="rId7"/>
    <sheet name="Escenarios Propuestos (164)" sheetId="7" r:id="rId8"/>
    <sheet name="Escenarios Sei seleccionados(33" sheetId="9" r:id="rId9"/>
    <sheet name="Tacticas por Escenario (33)" sheetId="10" r:id="rId10"/>
    <sheet name="ADR - Decisiones Arq. " sheetId="16" r:id="rId11"/>
    <sheet name="Building Blocks " sheetId="18" r:id="rId12"/>
    <sheet name="PoC y Spikes " sheetId="19" r:id="rId13"/>
    <sheet name="Catalogo de Tacticas (resumen)" sheetId="14" r:id="rId1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2" l="1"/>
  <c r="D13" i="2"/>
  <c r="C13" i="2"/>
  <c r="B13" i="2"/>
  <c r="G13" i="2"/>
  <c r="G12" i="2"/>
  <c r="F12" i="2"/>
  <c r="G11" i="2"/>
  <c r="F11" i="2"/>
  <c r="G5" i="2"/>
  <c r="F5" i="2"/>
  <c r="G10" i="2"/>
  <c r="F10" i="2"/>
  <c r="G9" i="2"/>
  <c r="F9" i="2"/>
  <c r="G3" i="2"/>
  <c r="F3" i="2"/>
  <c r="G4" i="2"/>
  <c r="F4" i="2"/>
  <c r="G8" i="2"/>
  <c r="F8" i="2"/>
  <c r="G7" i="2"/>
  <c r="F7" i="2"/>
  <c r="G2" i="2"/>
  <c r="F2" i="2"/>
  <c r="G6" i="2"/>
  <c r="F6" i="2"/>
  <c r="F13" i="2" s="1"/>
</calcChain>
</file>

<file path=xl/sharedStrings.xml><?xml version="1.0" encoding="utf-8"?>
<sst xmlns="http://schemas.openxmlformats.org/spreadsheetml/2006/main" count="3572" uniqueCount="2025">
  <si>
    <t>ID</t>
  </si>
  <si>
    <t>Atributos</t>
  </si>
  <si>
    <t>Tensión arquitectónica</t>
  </si>
  <si>
    <t>Criterio vigente / resolución</t>
  </si>
  <si>
    <t>Impacto aceptado</t>
  </si>
  <si>
    <t>Escenarios relacionados</t>
  </si>
  <si>
    <t>Decisión asociada</t>
  </si>
  <si>
    <t>T-01</t>
  </si>
  <si>
    <t>Disponibilidad</t>
  </si>
  <si>
    <t>Aumentar redundancia y capacidad de recuperación mejora la continuidad del servicio, pero incrementa infraestructura, complejidad operativa y costo por tenant.</t>
  </si>
  <si>
    <t>Se aplican niveles diferenciados de disponibilidad según criticidad: WhatsApp 99,5 %, motor y operaciones críticas 99,5 %, Panel Web 99 %. La recuperación se concentra en los componentes críticos sin sobredimensionar toda la plataforma.</t>
  </si>
  <si>
    <t>Se acepta mayor complejidad y costo en componentes críticos, sin exigir el mismo nivel de redundancia a componentes administrativos.</t>
  </si>
  <si>
    <t>COND-DISP-01, PAS-DISP-01, ADM-DISP-01, OPLOG-DISP-02</t>
  </si>
  <si>
    <t>ADR-0010 / ADR-0012</t>
  </si>
  <si>
    <t> </t>
  </si>
  <si>
    <t>T-02</t>
  </si>
  <si>
    <t>Seguridad</t>
  </si>
  <si>
    <t>Validar identidad, roles, estado de sesión y límites de acceso en cada petición incrementa procesamiento y complejidad frente a accesos más simples.</t>
  </si>
  <si>
    <t>Se prioriza la protección de acceso: autenticación desacoplada del dominio, autorización por roles y revocación efectiva ≤60 s. El aislamiento entre operadores complementa estos controles.</t>
  </si>
  <si>
    <t>Se acepta el costo de validación de seguridad siempre que las operaciones CRUD mantengan P95 &lt;500 ms y P99 &lt;1,5 s.</t>
  </si>
  <si>
    <t>ADM-SEG-01, OPLOG-SEG-02, ADM-SEG-02</t>
  </si>
  <si>
    <t>ADR-0002 / ADR-0003</t>
  </si>
  <si>
    <t>T-03</t>
  </si>
  <si>
    <t>Rendimiento</t>
  </si>
  <si>
    <t>El uso de caché reduce latencia y lecturas de persistencia, pero introduce riesgo de información obsoleta e invalidación incorrecta.</t>
  </si>
  <si>
    <t>Solo se cachean datos de baja volatilidad. Solicitudes, asignaciones, viajes en curso y telemetría no dependen del caché como fuente de verdad. La invalidación debe ser explícita.</t>
  </si>
  <si>
    <t>Se acepta menor hit-rate y mayor número de lecturas a persistencia en datos críticos para preservar consistencia operacional.</t>
  </si>
  <si>
    <t>ADM-REND-01, ADM-CAP-02</t>
  </si>
  <si>
    <t>ADR-0006</t>
  </si>
  <si>
    <t>T-04</t>
  </si>
  <si>
    <t>Confiabilidad</t>
  </si>
  <si>
    <t>Garantizar consistencia en asignaciones y cambios de estado añade transacciones, control de concurrencia, idempotencia y reintentos.</t>
  </si>
  <si>
    <t>La fuente de verdad permanece transaccional. Se aplican concurrencia optimista, restricciones de unicidad e intercambio confiable de eventos mediante Transactional Outbox.</t>
  </si>
  <si>
    <t>Se acepta mayor complejidad transaccional antes que permitir asignaciones duplicadas, pérdida de eventos o estados incoherentes.</t>
  </si>
  <si>
    <t>OPLOG-REND-01, COND-CONF-02, PAS-CONF-02</t>
  </si>
  <si>
    <t>ADR-0007</t>
  </si>
  <si>
    <t>T-05</t>
  </si>
  <si>
    <t>Aislamiento</t>
  </si>
  <si>
    <t>El modelo Silo mejora confidencialidad y contención de fallos, pero multiplica recursos, despliegues, backups, migraciones y tareas operativas por tenant.</t>
  </si>
  <si>
    <t>Se mantiene Silo como modelo de aislamiento físico por operador. Aprovisionamiento, migraciones y backups deben automatizarse para mantener controlado el costo operativo por tenant.</t>
  </si>
  <si>
    <t>Se acepta mayor complejidad operativa y consumo de infraestructura a cambio de aislamiento físico verificable entre operadores.</t>
  </si>
  <si>
    <t>OPLOG-SEG-02, ADM-SEG-02</t>
  </si>
  <si>
    <t>ADR-0002 / ADR-0010</t>
  </si>
  <si>
    <t>T-06</t>
  </si>
  <si>
    <t>Interoperabilidad</t>
  </si>
  <si>
    <t>WhatsApp, telemetría e identidad dependen de contratos y proveedores externos que están fuera del control directo de FlowRide.</t>
  </si>
  <si>
    <t>Las integraciones externas se encapsulan detrás de adaptadores. Para WhatsApp se contemplan validación de webhook, idempotencia, reintentos y recuperación sin acoplar el dominio al proveedor.</t>
  </si>
  <si>
    <t>Se acepta dependencia externa del canal o proveedor a cambio de adopción sin aplicación adicional y capacidad de sustituir integraciones mediante adaptadores.</t>
  </si>
  <si>
    <t>COND-DISP-01, PAS-DISP-03, COND-ACC-01, OPLOG-REND-01</t>
  </si>
  <si>
    <t>ADR-0008 / ADR-0012</t>
  </si>
  <si>
    <t>T-07</t>
  </si>
  <si>
    <t>Capacidad</t>
  </si>
  <si>
    <t>Aumentar frecuencia de telemetría GPS mejora la frescura del ETA, pero aumenta throughput, almacenamiento, procesamiento y exposición de datos personales.</t>
  </si>
  <si>
    <t>El dimensionamiento base es 100 eventos/min por instancia y retención GPS de 6 meses. La ubicación se utiliza para monitoreo y desviación de ETA, no para reasignación dinámica por cercanía.</t>
  </si>
  <si>
    <t>Se acepta limitar frecuencia y retención en lugar de almacenar ubicación indefinidamente o a una frecuencia extrema.</t>
  </si>
  <si>
    <t>OPLOG-INTEROP-04, PAS-CONF-01</t>
  </si>
  <si>
    <t>ADR-0005</t>
  </si>
  <si>
    <t>T-08</t>
  </si>
  <si>
    <t>Capacidad para ser auditado</t>
  </si>
  <si>
    <t>Registrar más información mejora trazabilidad y reconstrucción de incidentes, pero aumenta almacenamiento, tratamiento de datos y exposición de información sensible.</t>
  </si>
  <si>
    <t>Se conserva la auditoría necesaria para reconstruir acciones sensibles. La información de auditoría se retiene según su necesidad legal/operacional evitando duplicar datos personales innecesarios.</t>
  </si>
  <si>
    <t>Se acepta mayor almacenamiento y procesamiento a cambio de evidencia verificable, minimizando los datos registrados.</t>
  </si>
  <si>
    <t>OPLOG-AUD-01, PAS-AUD-02, OPLOG-AUD-02, PAS-AUD-03</t>
  </si>
  <si>
    <t>ADR-0011 / ADR-0013</t>
  </si>
  <si>
    <t>T-09</t>
  </si>
  <si>
    <t>Usabilidad - UX</t>
  </si>
  <si>
    <t>WhatsApp reduce fricción para pasajero y conductor, pero las operaciones sensibles requieren validaciones adicionales que agregan pasos a la interacción.</t>
  </si>
  <si>
    <t>Se mantiene WhatsApp como canal para pasajero y conductor, validando identidad, permisos y exposición mínima de información. Las acciones sensibles requieren controles adicionales.</t>
  </si>
  <si>
    <t>Se acepta una interacción adicional cuando sea necesaria para proteger datos, identidad o evitar suplantación.</t>
  </si>
  <si>
    <t>PAS-UX-01, COND-SEG-01, PAS-SEG-01</t>
  </si>
  <si>
    <t>ADR-0003 / ADR-0008</t>
  </si>
  <si>
    <t>T-10</t>
  </si>
  <si>
    <t>Escalabilidad</t>
  </si>
  <si>
    <t>El crecimiento mediante nuevas instancias Silo evita concentrar tenants, pero aumenta infraestructura, aprovisionamiento, despliegues y operación conforme crece el número de operadores.</t>
  </si>
  <si>
    <t>La plataforma escala incorporando nuevas instancias Silo por operador en lugar de aumentar indefinidamente la carga de una única instancia. El aprovisionamiento debe automatizarse y respetar el dimensionamiento por instancia.</t>
  </si>
  <si>
    <t>Se acepta crecimiento de infraestructura por tenant a cambio de conservar aislamiento y evitar que el crecimiento de un operador degrade a los demás.</t>
  </si>
  <si>
    <t>Debe vincularse con el escenario de escalabilidad seleccionado en el Tradeoff.</t>
  </si>
  <si>
    <t>Se asociará al ADR correspondiente cuando revisemos ADR.</t>
  </si>
  <si>
    <t>T-11</t>
  </si>
  <si>
    <t>Mantenibilidad</t>
  </si>
  <si>
    <t>Introducir separación modular, interfaces y adaptadores aumenta inicialmente la cantidad de abstracciones y componentes, pero reduce el impacto de cambios futuros.</t>
  </si>
  <si>
    <t>Se mantiene el monolito modular con responsabilidades separadas y contratos explícitos para infraestructura e integraciones externas. Los cambios de proveedor o reglas deben permanecer localizados.</t>
  </si>
  <si>
    <t>Se acepta mayor estructura interna y disciplina de desarrollo a cambio de reducir acoplamiento y costo de modificación.</t>
  </si>
  <si>
    <t>Debe vincularse con el escenario de mantenibilidad seleccionado en el Tradeoff.</t>
  </si>
  <si>
    <t>Atributos de calidad</t>
  </si>
  <si>
    <t>Administrador del operador</t>
  </si>
  <si>
    <t xml:space="preserve">Conductor </t>
  </si>
  <si>
    <t xml:space="preserve">Pasajero </t>
  </si>
  <si>
    <t>Operador logístico</t>
  </si>
  <si>
    <t>Ponderador global</t>
  </si>
  <si>
    <t>Capacidadd</t>
  </si>
  <si>
    <t xml:space="preserve"> </t>
  </si>
  <si>
    <t>Stakeholder</t>
  </si>
  <si>
    <t>¿Qué sienten?</t>
  </si>
  <si>
    <t>¿Qué ven?</t>
  </si>
  <si>
    <t>¿Qué oyen?</t>
  </si>
  <si>
    <t>¿Qué dicen y qué hacen?</t>
  </si>
  <si>
    <t>Siente la presión de garantizar la continuidad y confiabilidad de la operación. Le preocupan especialmente la seguridad, el aislamiento de la información, el rendimiento y la trazabilidad de las acciones.</t>
  </si>
  <si>
    <t>Ve usuarios, conductores, vehículos, reglas configuradas, reportes e indicadores agregados de la operación de su tenant.</t>
  </si>
  <si>
    <t>Recibe solicitudes del cliente empresarial, reportes del Operador logístico y alertas o quejas cuando existen retrasos, fallos o problemas de acceso.</t>
  </si>
  <si>
    <t>Configura usuarios y parámetros, administra permisos, consulta reportes y supervisa la operación frente a los clientes empresariales atendidos por el operador.</t>
  </si>
  <si>
    <t>Conductor</t>
  </si>
  <si>
    <t>Necesita certeza sobre qué servicio le corresponde y una interacción disponible, rápida y confiable que no lo distraiga durante la conducción.</t>
  </si>
  <si>
    <t>Ve por WhatsApp los servicios asignados, datos necesarios de recogida/destino y confirmaciones de estado. La telemetría se utiliza para monitoreo del viaje, no para competir por cercanía.</t>
  </si>
  <si>
    <t>Recibe instrucciones operativas y notificaciones del sistema mediante WhatsApp.</t>
  </si>
  <si>
    <t>Acepta o rechaza servicios y actualiza estados de inicio, finalización o incidentes. Necesita que los cambios de asignación sean claros y trazables.</t>
  </si>
  <si>
    <t>Pasajero</t>
  </si>
  <si>
    <t>Quiere confianza en que el servicio fue recibido, asignado y llegará a tiempo. Valora privacidad y no tener que instalar otra aplicación.</t>
  </si>
  <si>
    <t>Ve por WhatsApp confirmaciones, información necesaria del servicio, ETA y notificaciones de desviación cuando aplican.</t>
  </si>
  <si>
    <t>Oye confirmaciones y alertas del sistema, y eventualmente información del conductor u operador asociada al servicio.</t>
  </si>
  <si>
    <t>Solicita transporte, consulta estado, recibe notificaciones y al finalizar puede calificar al conductor.</t>
  </si>
  <si>
    <t>Siente presión por coordinar múltiples servicios y reaccionar rápido ante abandonos de turno, retrasos o incidentes.</t>
  </si>
  <si>
    <t>Ve en el Panel Web solicitudes, asignaciones, conductores, vehículos, servicios en curso, alertas de desviación de ETA y trazabilidad operacional.</t>
  </si>
  <si>
    <t>Oye reportes de conductores y pasajeros y recibe alertas que requieren intervención.</t>
  </si>
  <si>
    <t>Supervisa la operación diaria, reasigna servicios cuando existe contingencia, revisa incidentes y usa telemetría como apoyo de monitoreo.</t>
  </si>
  <si>
    <t>Lluvia de escenarios por stakeholder y atributo priorizado</t>
  </si>
  <si>
    <t>Prioridad</t>
  </si>
  <si>
    <t>Atributo de calidad</t>
  </si>
  <si>
    <t>Lluvia en lenguaje de usuario</t>
  </si>
  <si>
    <t>Pregunta detonante del arquitecto</t>
  </si>
  <si>
    <t>Votos (Dot Voting)</t>
  </si>
  <si>
    <t>Si a un empleado le doy de baja hoy porque salió de la empresa o cambió de área, mañana no puede seguir entrando a ver información de mi operación. Y ninguna otra empresa que use este sistema puede alcanzar a ver mis datos, eso es lo primero.</t>
  </si>
  <si>
    <t>¿En cuánto tiempo debe cortarse el acceso de un usuario dado de baja: inmediato, la próxima vez que renueve sesión, minutos? ¿Qué información considerarías crítica que nunca deba cruzarse entre empresas del sistema?</t>
  </si>
  <si>
    <t>Cuando entro en la mañana a revisar cómo va la operación no puedo estar esperando 8 o 10 segundos a que carguen los reportes; tengo mil cosas encima.</t>
  </si>
  <si>
    <t>¿Qué operaciones tuyas son las que más pesan en tu día? ¿Cuál es la peor demora que has visto que sí toleras y cuál te haría cambiar de sistema?</t>
  </si>
  <si>
    <t>Si el sistema se cae un lunes a las 4 o 5 de la mañana cuando arrancan los turnos, mi operación queda paralizada y yo soy el que responde al gerente.</t>
  </si>
  <si>
    <t>¿Hay una franja del día donde una caída de 30 minutos es tolerable y otra donde no puede caerse ni 1 minuto? ¿Cuánto tiempo de indisponibilidad al mes te haría considerar cambiar de proveedor?</t>
  </si>
  <si>
    <t>Los reportes que le muestro a mi gerencia no pueden variar de un día para otro; si ayer el sistema dijo 120 viajes, mañana no pueden aparecer 118.</t>
  </si>
  <si>
    <t>¿Con qué frecuencia consultas los mismos datos y cuánto tiempo hacia atrás? ¿Alguna vez un reporte contradijo al del día anterior, y cómo lo detectaste?</t>
  </si>
  <si>
    <t>Si un empleado dice que él nunca solicitó un servicio y a mí me llegó el cobro, tengo que poder demostrar quién, cuándo y desde qué dispositivo lo pidió.</t>
  </si>
  <si>
    <t>¿Cuánto tiempo hacia atrás necesitas conservar ese rastro: 3 meses, 1 año, 5 años? ¿A quién le rindes cuentas si algo se pierde: control interno, revisoría, entidad regulatoria?</t>
  </si>
  <si>
    <t>Portabilidad</t>
  </si>
  <si>
    <t>Si mañana quiero abrir el panel desde el iPad de mi casa o desde el computador de la oficina, tiene que funcionar igual.</t>
  </si>
  <si>
    <t>¿Desde qué dispositivos revisas hoy la operación? ¿Alguna vez has necesitado usar un navegador poco común, o siempre es Chrome/Edge?</t>
  </si>
  <si>
    <t>Accesibilidad</t>
  </si>
  <si>
    <t>Yo no soy el más experto en tecnología; el panel tiene que ser claro sin que me toque llamar a soporte cada rato.</t>
  </si>
  <si>
    <t>¿Ves personas en tu equipo con dificultades de visión o que trabajan con pantallas pequeñas? ¿Alguna vez has tenido que operar el sistema desde una conexión mala?</t>
  </si>
  <si>
    <t>Cuando crezcamos y en vez de 200 empleados tenga 500, no me pueden empezar a cobrar el doble ni pedirme cambiar de sistema.</t>
  </si>
  <si>
    <t>¿Cuál es tu crecimiento esperado de personal en 1 y 3 años? ¿Hay algún mes o temporada donde ese número se dispare temporalmente?</t>
  </si>
  <si>
    <t>Si en un momento tengo un contrato grande y sube el volumen de viajes, no puedo estar rezando para que el sistema aguante.</t>
  </si>
  <si>
    <t>¿Cuál ha sido el pico más grande de operación que hayas tenido, y qué pasó? ¿Con cuánta anticipación sueles saber que va a venir un pico?</t>
  </si>
  <si>
    <t>Prefiero que sea funcional y confiable a que sea muy bonito; si me toca capacitar 3 semanas a alguien para usarlo, ya no me sirve.</t>
  </si>
  <si>
    <t>¿Cuánto tiempo esperas que tarde una persona nueva en tu equipo en manejar el panel bien? ¿Prefieres algo simple o algo con muchas opciones aunque sea más denso?</t>
  </si>
  <si>
    <t>Si el operador ya tiene un proveedor de GPS, FlowRide debería poder recibir esa ubicación sin obligarlo a cambiar toda su infraestructura.</t>
  </si>
  <si>
    <t>¿Qué proveedor o dispositivo de ubicación usa hoy el operador? ¿Qué frecuencia de actualización entrega y qué contrato técnico ofrece?</t>
  </si>
  <si>
    <t>A las 4 de la madrugada cuando arranco turno, el WhatsApp del sistema tiene que estar respondiendo; si no, no sé a quién recoger ni a qué hora.</t>
  </si>
  <si>
    <t>¿Cuál es la primera cosa que haces en la app al arrancar el turno? ¿Si esa acción no responde por 5 minutos, qué haces: esperas, llamas al operador, sigues sin el sistema?</t>
  </si>
  <si>
    <t>Cuando marco 'ya llegué al punto de recogida', no puedo esperar 5 segundos a que cargue; el pasajero ya está subiendo al carro.</t>
  </si>
  <si>
    <t>¿Qué acciones haces con más urgencia mientras conduces? ¿Cuánto es lo máximo que aceptarías esperar por una confirmación entre viaje y viaje?</t>
  </si>
  <si>
    <t>Nadie más puede aceptar servicios en mi nombre desde otro celular, porque yo soy el que responde por lo que pase en ese viaje.</t>
  </si>
  <si>
    <t>¿Cambias de celular a menudo? ¿Compartes el equipo con alguien de la familia? ¿Qué haces hoy para asegurarte de que solo tú entras al sistema?</t>
  </si>
  <si>
    <t>En zonas rurales o en algunos barrios el internet se pone maluco; si la app no aguanta con señal baja, yo quedo perdido con el pasajero.</t>
  </si>
  <si>
    <t>¿En qué zonas te ha pasado que se te cae la señal? ¿Alcanzas a leer bien la pantalla con sol directo, o te toca parquear para verla?</t>
  </si>
  <si>
    <t>Si el sistema me manda un servicio y yo lo acepto, no puede pasar que a los 5 minutos me diga que el servicio nunca existió o que se lo dieron a otro.</t>
  </si>
  <si>
    <t>¿Te ha pasado que un servicio se te 'esfuma' del historial? ¿Cómo te enteras normalmente de que un servicio fue reasignado?</t>
  </si>
  <si>
    <t>Si para aceptar un viaje tengo que darle a 4 botones, con guantes puestos y en la oscuridad, algo está mal.</t>
  </si>
  <si>
    <t>¿Con guantes puestos o dedos húmedos alcanzas a usar bien el celular? ¿Cuáles son los 3 botones que más presionas en el día?</t>
  </si>
  <si>
    <t>Si de un momento a otro me toca hacer más turnos porque la empresa creció, la app tiene que seguir siendo igual de rápida.</t>
  </si>
  <si>
    <t>¿Cuánto ha cambiado tu carga de servicios en los últimos meses? ¿Has notado que la app se ponga lenta en horas pico?</t>
  </si>
  <si>
    <t>Si un pasajero se queja de que fui grosero o llegué tarde, yo necesito que quede claro a qué hora exacta arranqué y a qué hora exacta lo recogí.</t>
  </si>
  <si>
    <t>¿Con qué frecuencia te toca 'defender' algo que hiciste en un servicio pasado? ¿Cuánto tiempo hacia atrás necesitas poder consultar tu propio historial?</t>
  </si>
  <si>
    <t>Que el sistema tenga muchos conductores conectados al mismo tiempo no me tiene que afectar; yo solo veo lo mío.</t>
  </si>
  <si>
    <t>¿Alguna vez has sentido que el sistema se ponga lento en cierta hora del día? ¿Puedes saber cuántos servicios activos hay a la vez en tu zona?</t>
  </si>
  <si>
    <t>Si se me daña el celular y me toca usar uno prestado un día, tiene que servirme igual el WhatsApp con mi número.</t>
  </si>
  <si>
    <t>¿Qué haces cuando se te descarga o se te daña el equipo en mitad del turno? ¿Cambias mucho de celular o de línea?</t>
  </si>
  <si>
    <t>Con que el sistema me pase las coordenadas del pasajero y yo pueda abrirlas en Waze o Google Maps es suficiente.</t>
  </si>
  <si>
    <t>¿Qué app usas hoy para navegar mientras trabajas? ¿Te ha tocado copiar direcciones a mano de un lado a otro?</t>
  </si>
  <si>
    <t>Si tengo que estar a las 5am en el aeropuerto y a las 3am el sistema no me deja pedir el transporte, mi vuelo se me va y nadie me lo devuelve.</t>
  </si>
  <si>
    <t>¿A qué horas típicamente pides el servicio? ¿Cuál sería el peor momento posible del día para que el sistema no responda?</t>
  </si>
  <si>
    <t>Cuando el sistema me dice que el carro llega a las 5:15, tiene que llegar a las 5:15; no puedo llegar tarde por confiar en algo que no cumple.</t>
  </si>
  <si>
    <t>¿Cuántos minutos de retraso empiezan a ser problema para ti? ¿El sistema hoy te avisa cuando hay un retraso, o te toca averiguarlo?</t>
  </si>
  <si>
    <t>Mi jefe no puede ver a qué horas ni a dónde me estoy moviendo cuando pido un servicio personal fuera del turno.</t>
  </si>
  <si>
    <t>¿Distingues entre servicios de trabajo y servicios personales? ¿Qué información de tu operación consideras que debería ser solo tuya?</t>
  </si>
  <si>
    <t>No quiero descargar otra app más; si puedo pedir por WhatsApp como le escribo a mi mamá, mejor.</t>
  </si>
  <si>
    <t>¿Cuántas apps de trabajo tienes ya en el celular? ¿WhatsApp lo tienes abierto todo el día?</t>
  </si>
  <si>
    <t>Cuando estoy tarde y escribo por WhatsApp, no puedo esperar 3 minutos a que me respondan si aceptaron o no la solicitud.</t>
  </si>
  <si>
    <t>¿Cuánto es lo máximo que aceptarías esperar por una confirmación? ¿Prefieres respuesta inmediata aunque sea 'estamos buscando conductor', o mejor una sola respuesta cuando ya hay uno asignado?</t>
  </si>
  <si>
    <t>A veces pido el servicio desde el sótano de un edificio donde no hay casi señal; ahí también debe funcionar.</t>
  </si>
  <si>
    <t>¿Desde qué lugares raros has tenido que pedir el servicio? ¿Alguna vez has tenido que salir de un lugar solo para poder pedirlo?</t>
  </si>
  <si>
    <t>Si cobran a mi empresa un servicio que yo no pedí, tiene que poder demostrarse que no fui yo.</t>
  </si>
  <si>
    <t>¿Alguna vez te han cobrado algo que no reconoces? ¿A quién acudes cuando hay una duda sobre un servicio?</t>
  </si>
  <si>
    <t>Si cambio de celular no quiero perder mi historial ni tener que registrarme desde cero.</t>
  </si>
  <si>
    <t>¿Cada cuánto cambias de celular? ¿Es común que uses el sistema desde varios dispositivos?</t>
  </si>
  <si>
    <t>Si muchos compañeros piden servicio al mismo tiempo cuando se acaba el turno, el sistema no puede colapsar.</t>
  </si>
  <si>
    <t>¿Hay momentos del día donde varios pidan al mismo tiempo? ¿Te ha pasado quedarte sin servicio en horas pico?</t>
  </si>
  <si>
    <t>Sería bueno que el servicio me llegue con un link para verlo en Google Maps o Waze, pero no es lo primero.</t>
  </si>
  <si>
    <t>¿Qué app usas para orientarte cuando vas en el servicio? ¿Te sirve saber la ruta que tomará el conductor?</t>
  </si>
  <si>
    <t>Que el sistema atienda a más empleados de otras empresas no es mi problema; solo que a mí me sirva.</t>
  </si>
  <si>
    <t>¿Sabes cuántos compañeros usan el mismo sistema hoy? ¿Notas diferencia en el servicio dependiendo de la hora?</t>
  </si>
  <si>
    <t>Yo trabajo en el panel 8 horas seguidas; si no puedo hacer todo con teclado y me toca ir con el mouse a cada botoncito, se me va el turno.</t>
  </si>
  <si>
    <t>¿Qué atajos de teclado usas en otros sistemas que quisieras aquí? ¿Cuánto tiempo llevas frente al panel en un día típico?</t>
  </si>
  <si>
    <t>Cuando un conductor dice que le reasignaron un servicio y él no lo aceptó, yo necesito ver el log exacto de quién tocó qué y cuándo.</t>
  </si>
  <si>
    <t>¿Con qué frecuencia haces investigaciones así? ¿Cuánta información necesitas del log: quién, cuándo, qué campo cambió, valor anterior y nuevo?</t>
  </si>
  <si>
    <t>Cuando cambio la asignación de un conductor porque tuvo un problema, esa reasignación tiene que quedar en firme antes de 2 segundos; si no, termino haciendo el mismo cambio dos veces por confusión.</t>
  </si>
  <si>
    <t>¿Cuántas acciones críticas haces por hora en el panel? ¿Qué te pasa si una acción tarda 5 o 10 segundos en confirmar?</t>
  </si>
  <si>
    <t>Yo no puedo estar viendo información de otra empresa cliente, aunque el sistema sea el mismo por debajo; para mí solo debe existir mi operación.</t>
  </si>
  <si>
    <t>¿Manejas varias empresas en tu trabajo, o solo una? ¿Qué haces si por error te aparece información que no debería?</t>
  </si>
  <si>
    <t>En los picos de operación con 3 turnos a la vez el sistema tiene que aguantar; no puede volverse lento cuando más lo necesito.</t>
  </si>
  <si>
    <t>¿Cuándo son los picos más fuertes del mes? ¿Cuántas asignaciones simultáneas puedes llegar a tener en pantalla?</t>
  </si>
  <si>
    <t>Si mañana la empresa crece y tengo el doble de conductores en pantalla, no me tienen que cambiar de sistema.</t>
  </si>
  <si>
    <t>¿Cuánto ha crecido tu carga de conductores en el último año? ¿Cuál es el tope al que crees que llegarás?</t>
  </si>
  <si>
    <t>Sería útil poder exportar los reportes a Excel y armar mis propios tableros; no quiero pedir cambios al sistema cada vez que necesito otro cruce.</t>
  </si>
  <si>
    <t>¿Qué reportes armas hoy manualmente que quisieras exportar? ¿Usas Excel, Power BI, Google Sheets?</t>
  </si>
  <si>
    <t>Si un día me toca trabajar desde otra máquina, no puedo perder mis filtros ni mis vistas guardadas.</t>
  </si>
  <si>
    <t>¿Tienes vistas o filtros que armas para tu día a día? ¿Alguna vez te ha tocado trabajar desde una máquina distinta a la habitual?</t>
  </si>
  <si>
    <t>Que sea intuitivo está bien, pero yo necesito tener mucha información en pantalla al mismo tiempo, aunque se vea densa.</t>
  </si>
  <si>
    <t>¿Prefieres una pantalla con mucha información compacta o una limpia con menos datos? ¿Qué información necesitas siempre a la vista?</t>
  </si>
  <si>
    <t>Si el sistema se me cae 20 minutos tampoco es que me arruine el día; puedo llevar registro en Excel mientras se estabiliza.</t>
  </si>
  <si>
    <t>¿Tienes un plan B cuando el sistema no funciona? ¿Cuánto tiempo de caída al día es tolerable para ti?</t>
  </si>
  <si>
    <t>Que los datos sean 100% exactos me importa menos que poder revisarlos yo mismo; si hay algo raro yo lo detecto y lo corrijo.</t>
  </si>
  <si>
    <t>¿Con qué frecuencia detectas y corriges datos manualmente? ¿Prefieres ver el dato aunque tenga un margen de error, o esperar hasta que esté validado?</t>
  </si>
  <si>
    <t>Si retiro el acceso a una persona o cambia de rol, necesito que deje de ver inmediatamente la información que ya no le corresponde. Los datos sensibles de la operación deben permanecer protegidos.</t>
  </si>
  <si>
    <t>¿En cuánto tiempo debe hacerse efectiva una revocación de acceso? ¿Qué operaciones o datos considera más sensibles y qué roles pueden consultarlos o modificarlos?</t>
  </si>
  <si>
    <t>Necesito confiar en que una asignación, cambio de estado o configuración quede registrada una sola vez y no termine dejando información contradictoria.</t>
  </si>
  <si>
    <t>¿Qué errores operativos serían inaceptables: asignaciones duplicadas, estados inconsistentes, pérdida de cambios? ¿Qué debería ocurrir si una operación se repite por error?</t>
  </si>
  <si>
    <t>La operación no puede quedar detenida porque el sistema no esté disponible, especialmente cuando se están gestionando servicios y asignaciones.</t>
  </si>
  <si>
    <t>¿Qué componentes deben estar disponibles prácticamente todo el tiempo? ¿Cuánto tiempo de indisponibilidad mensual sería tolerable para el canal, el motor y el panel?</t>
  </si>
  <si>
    <t>Cuando consulto usuarios, operación, reportes o configuración necesito respuestas rápidas; no puedo perder tiempo esperando que el panel cargue.</t>
  </si>
  <si>
    <t>¿Qué operaciones realiza con mayor frecuencia? ¿Qué tiempo máximo de respuesta considera aceptable durante un pico operativo?</t>
  </si>
  <si>
    <t>Necesito tener certeza de que la información de mi operador está separada de la de otros operadores que también utilizan FlowRide.</t>
  </si>
  <si>
    <t>¿Qué evidencia necesitaría para confiar en que otro operador nunca puede acceder a sus datos? ¿Qué recursos deben permanecer separados por tenant?</t>
  </si>
  <si>
    <t>Si ocurre un incidente o alguien cambia una configuración crítica, necesito poder saber quién hizo qué, cuándo lo hizo y cuál fue el resultado.</t>
  </si>
  <si>
    <t>¿Qué acciones deben quedar obligatoriamente auditadas? ¿Durante cuánto tiempo necesita conservar esa evidencia para investigaciones o cumplimiento?</t>
  </si>
  <si>
    <t>Aunque administro muchas funciones, necesito encontrar rápidamente usuarios, configuraciones, reportes y alertas sin recorrer demasiadas pantallas.</t>
  </si>
  <si>
    <t>¿Cuáles son las tareas administrativas que realiza con mayor frecuencia? ¿Cuántos pasos considera razonables para completarlas?</t>
  </si>
  <si>
    <t>En momentos de alta operación el sistema debe soportar usuarios, consultas y eventos sin colapsar ni afectar las tareas administrativas.</t>
  </si>
  <si>
    <t>¿Cuántos usuarios pueden trabajar simultáneamente en un pico? ¿Qué volúmenes de solicitudes, viajes o telemetría espera por instancia?</t>
  </si>
  <si>
    <t>Necesito que las integraciones externas puedan cambiar o fallar sin obligarnos a rehacer la operación principal de FlowRide.</t>
  </si>
  <si>
    <t>¿Qué integraciones externas son indispensables para operar? ¿Qué debería ocurrir cuando WhatsApp, identidad o telemetría no respondan temporalmente?</t>
  </si>
  <si>
    <t>Si FlowRide incorpora nuevos operadores, el crecimiento de la plataforma no debería degradar el servicio que recibe mi operación.</t>
  </si>
  <si>
    <t>¿Qué crecimiento de operadores espera la plataforma? ¿Qué nivel de independencia espera entre el crecimiento de un tenant y el rendimiento de los demás?</t>
  </si>
  <si>
    <t>Cuando se necesite cambiar una regla, integración o función, espero que el ajuste pueda hacerse sin romper módulos que ya funcionan.</t>
  </si>
  <si>
    <t>¿Qué tipos de cambios espera que sean frecuentes? ¿Qué tiempo de entrega sería aceptable para una modificación localizada sin afectar funciones existentes?</t>
  </si>
  <si>
    <t>Cuando empieza mi turno necesito recibir y gestionar los servicios por WhatsApp; si el canal no funciona puedo perder una asignación o retrasar un viaje.</t>
  </si>
  <si>
    <t>¿En qué horarios depende más del sistema? ¿Cuánto tiempo podría estar sin recibir o actualizar servicios antes de afectar la operación?</t>
  </si>
  <si>
    <t>Cuando acepto un servicio o informo que inicié o terminé un viaje necesito confirmación rápida para saber que el sistema recibió mi acción.</t>
  </si>
  <si>
    <t>¿Cuánto tiempo esperaría una confirmación antes de intentar nuevamente? ¿Qué acciones requieren respuesta prácticamente inmediata?</t>
  </si>
  <si>
    <t>Necesito que el sistema no me asigne dos servicios incompatibles ni pierda los cambios de estado que reporto durante un viaje.</t>
  </si>
  <si>
    <t>¿Qué inconsistencias le generan más problemas durante un turno? ¿Qué debería ocurrir si envía dos veces la misma confirmación por mala conexión?</t>
  </si>
  <si>
    <t>La información que recibo debe corresponder únicamente a mis servicios y no quiero que otra persona pueda actuar en mi nombre desde un número o sesión no autorizada.</t>
  </si>
  <si>
    <t>¿Qué información del pasajero necesita realmente para prestar el servicio? ¿Qué validación considera razonable antes de ejecutar una acción sensible?</t>
  </si>
  <si>
    <t>Necesito hacer lo esencial desde WhatsApp con pocos pasos y sin distraerme, especialmente cuando estoy en operación.</t>
  </si>
  <si>
    <t>¿Qué acciones realiza más veces durante un viaje? ¿Cuántos mensajes o pasos serían demasiados para aceptar un servicio o actualizar su estado?</t>
  </si>
  <si>
    <t>Necesito que WhatsApp y los servicios externos utilizados por FlowRide se entiendan correctamente para que mis mensajes y estados no se pierdan.</t>
  </si>
  <si>
    <t>¿Qué debería hacer el sistema si WhatsApp entrega tarde un mensaje o lo envía nuevamente? ¿Qué información externa necesita durante el servicio?</t>
  </si>
  <si>
    <t>En cambios de turno muchos conductores pueden estar recibiendo o actualizando servicios al mismo tiempo y el sistema debe seguir respondiendo.</t>
  </si>
  <si>
    <t>¿Cuántos conductores suelen coincidir en los picos? ¿Qué momentos generan mayor cantidad de aceptaciones o actualizaciones simultáneas?</t>
  </si>
  <si>
    <t>Si aumenta el número de conductores o servicios, espero seguir usando el mismo flujo sin que se vuelva más lento o complejo.</t>
  </si>
  <si>
    <t>¿Cómo espera que crezca la flota? ¿Qué cambio notaría primero si el sistema no pudiera acompañar ese crecimiento?</t>
  </si>
  <si>
    <t>Solo debo recibir información de los servicios del operador al que pertenezco; nunca datos o asignaciones de otro operador.</t>
  </si>
  <si>
    <t>¿Qué consecuencias tendría recibir por error información de otra operación? ¿Qué información debería quedar completamente separada?</t>
  </si>
  <si>
    <t>Si existe una discusión sobre si acepté, rechacé o actualicé un servicio, necesito que pueda verificarse qué ocurrió.</t>
  </si>
  <si>
    <t>¿Qué eventos le gustaría poder demostrar posteriormente? ¿Qué información mínima debería conservarse para resolver una disputa?</t>
  </si>
  <si>
    <t>Si FlowRide cambia una regla o integración, necesito que mi forma normal de trabajar siga funcionando y que el cambio no genere errores nuevos.</t>
  </si>
  <si>
    <t>¿Qué cambios del sistema le afectarían más durante un turno? ¿Qué funciones deberían comprobarse siempre después de una actualización?</t>
  </si>
  <si>
    <t>Cuando necesito transporte debo poder solicitarlo y recibir confirmaciones por WhatsApp; el servicio no me sirve si el canal está caído cuando lo necesito.</t>
  </si>
  <si>
    <t>¿En qué momentos solicita transporte con mayor frecuencia? ¿Cuánto tiempo sin respuesta haría que busque otro medio de transporte?</t>
  </si>
  <si>
    <t>Después de enviar una solicitud o consultar mi servicio espero una respuesta rápida para saber que fue recibida y qué está ocurriendo.</t>
  </si>
  <si>
    <t>¿Cuánto tiempo considera aceptable para recibir una confirmación? ¿En qué momento una espera lo haría repetir la solicitud?</t>
  </si>
  <si>
    <t>Quiero que mis datos personales, ubicaciones y solicitudes solo sean visibles para las personas que realmente necesitan esa información para prestar el servicio.</t>
  </si>
  <si>
    <t>¿Qué datos considera más sensibles? ¿Qué información del viaje aceptaría compartir con conductor y operador y cuál no?</t>
  </si>
  <si>
    <t>Necesito confiar en que mi solicitud no se pierda, no se duplique y que el estado que recibo corresponda al servicio real.</t>
  </si>
  <si>
    <t>¿Qué sería peor: que una solicitud no quede registrada o que quede duplicada? ¿Cómo espera que el sistema confirme el estado real de su servicio?</t>
  </si>
  <si>
    <t>Quiero solicitar y consultar el transporte desde WhatsApp sin instalar otra aplicación y sin tener que aprender comandos complicados.</t>
  </si>
  <si>
    <t>¿Cuántos pasos considera razonables para pedir un servicio? ¿Qué información debería pedir el sistema y cuál podría obtener automáticamente?</t>
  </si>
  <si>
    <t>Aunque entren más empresas y pasajeros a FlowRide, mi experiencia no debería volverse más lenta ni menos confiable.</t>
  </si>
  <si>
    <t>¿Ha notado degradación en otros servicios cuando hay muchos usuarios? ¿Qué comportamiento espera en horas de alta demanda?</t>
  </si>
  <si>
    <t>Espero recibir por WhatsApp información coherente del servicio y que los datos provenientes de sistemas externos, como ETA o telemetría, se integren sin confusión.</t>
  </si>
  <si>
    <t>¿Qué información externa le resulta útil durante el viaje? ¿Qué debería mostrarse si temporalmente no hay telemetría o ETA disponible?</t>
  </si>
  <si>
    <t>Mis solicitudes y datos deben permanecer dentro de la operación que me presta el servicio y no aparecer para usuarios de otros operadores.</t>
  </si>
  <si>
    <t>¿Qué información consideraría una fuga grave si fuera visible para otra empresa u operador? ¿Qué datos deben permanecer estrictamente separados?</t>
  </si>
  <si>
    <t>Cuando muchas personas salen de turno y solicitan transporte al mismo tiempo, el sistema debe seguir recibiendo y procesando las solicitudes.</t>
  </si>
  <si>
    <t>¿Cuáles son las horas de mayor demanda? ¿Cuántas personas pueden solicitar transporte simultáneamente en un cambio de turno?</t>
  </si>
  <si>
    <t>Si aparece un servicio que no solicité o existe una discusión sobre una cancelación o cambio, quiero que pueda comprobarse qué ocurrió.</t>
  </si>
  <si>
    <t>¿Qué situaciones necesitaría reclamar o verificar posteriormente? ¿Qué evidencia debería existir para resolver ese tipo de caso?</t>
  </si>
  <si>
    <t>Cuando FlowRide sea actualizado, espero que las funciones que ya uso sigan funcionando sin obligarme a aprender nuevamente el proceso.</t>
  </si>
  <si>
    <t>¿Qué cambios en el flujo de WhatsApp le generarían más dificultad? ¿Qué funciones deberían permanecer estables después de una actualización?</t>
  </si>
  <si>
    <t>Durante la operación necesito el panel y las funciones críticas disponibles porque una caída me impide coordinar solicitudes, asignaciones e incidentes.</t>
  </si>
  <si>
    <t>¿Qué funciones no pueden detenerse durante un turno? ¿Cuánto tiempo de indisponibilidad podría manejar antes de afectar seriamente la operación?</t>
  </si>
  <si>
    <t>Cuando consulto, confirmo o gestiono una novedad necesito respuesta rápida; una demora puede hacer que repita una acción o tome una decisión con información desactualizada.</t>
  </si>
  <si>
    <t>¿Qué acciones realiza bajo mayor presión? ¿Qué tiempo máximo toleraría para confirmar una operación crítica antes de intentar nuevamente?</t>
  </si>
  <si>
    <t>Necesito que asignaciones, estados y eventos sean consistentes; no puedo coordinar la operación si aparecen duplicados o versiones contradictorias del mismo viaje.</t>
  </si>
  <si>
    <t>¿Qué inconsistencias son más peligrosas durante la operación? ¿Qué debería ocurrir cuando dos acciones intentan modificar el mismo servicio al mismo tiempo?</t>
  </si>
  <si>
    <t>Cuando hay una reclamación o incidente necesito reconstruir exactamente qué pasó, quién actuó y en qué momento.</t>
  </si>
  <si>
    <t>¿Qué acciones investiga con mayor frecuencia? ¿Necesita conocer solo actor y fecha o también valores anteriores, nuevos y resultado de la operación?</t>
  </si>
  <si>
    <t>Solo debo acceder a la información y acciones que corresponden a mi rol y a mi operación; un acceso incorrecto puede afectar pasajeros, conductores o clientes empresariales.</t>
  </si>
  <si>
    <t>¿Qué operaciones deberían requerir permisos especiales? ¿Qué información no debería poder consultar o modificar un operador logístico?</t>
  </si>
  <si>
    <t>Dependo de información que llega desde WhatsApp y telemetría; necesito que esas integraciones sean confiables y que una falla externa no deje la operación en un estado confuso.</t>
  </si>
  <si>
    <t>¿Qué integración externa afecta más su trabajo? ¿Qué debería mostrar o permitir el panel cuando un proveedor externo está degradado?</t>
  </si>
  <si>
    <t>En cambios de turno puedo tener muchas solicitudes, conductores, viajes y eventos al mismo tiempo; el sistema debe soportar esos picos.</t>
  </si>
  <si>
    <t>¿Cuál es el mayor número de servicios simultáneos que coordina? ¿Qué volumen de eventos o actualizaciones recibe durante el pico más fuerte?</t>
  </si>
  <si>
    <t>Debo trabajar únicamente con los datos del operador al que pertenezco y nunca visualizar información operacional de otro tenant.</t>
  </si>
  <si>
    <t>¿Qué impacto tendría mezclar solicitudes, conductores o viajes de operadores distintos? ¿Qué controles espera para impedirlo?</t>
  </si>
  <si>
    <t>Necesito ver mucha información operacional sin perder claridad y ejecutar rápidamente las acciones frecuentes del turno.</t>
  </si>
  <si>
    <t>¿Qué información necesita siempre visible? ¿Qué acciones deberían estar a uno o dos pasos y cuáles pueden quedar en vistas secundarias?</t>
  </si>
  <si>
    <t>Si aumenta el número de operadores, conductores o servicios, mi operación no debería degradarse por el crecimiento de otros tenants.</t>
  </si>
  <si>
    <t>¿Qué crecimiento espera en su propia operación? ¿Cómo debería comportarse el sistema cuando la plataforma incorpore muchos operadores adicionales?</t>
  </si>
  <si>
    <t>Cuando se ajusten reglas o integraciones necesito que las funciones operativas existentes sigan estables y que los cambios no introduzcan fallos en otros flujos.</t>
  </si>
  <si>
    <t>¿Qué reglas cambian con mayor frecuencia? ¿Qué procesos deberían probarse obligatoriamente después de una modificación?</t>
  </si>
  <si>
    <t>Mecánica de Dot Voting aplicada sobre la Lluvia de Escenarios</t>
  </si>
  <si>
    <t>Propósito</t>
  </si>
  <si>
    <t>Seleccionar los escenarios más representativos de la lluvia para redactarlos formalmente en formato SEI de 6 partes, que alimentan el árbol de utilidad y las tácticas técnicas.</t>
  </si>
  <si>
    <t>Universo de escenarios</t>
  </si>
  <si>
    <t>44 escenarios (11 atributos de calidad × 4 stakeholders)</t>
  </si>
  <si>
    <t>Votantes</t>
  </si>
  <si>
    <t>3 miembros del equipo (Sebastián Zapata, Andrés Ortiz, Jhonny Benítez). Cliente informal opcional como cuarto votante si está disponible por WhatsApp.</t>
  </si>
  <si>
    <t>Votos por votante</t>
  </si>
  <si>
    <t>10 votos por persona. Corresponde a ~22% del universo, suficiente para diferenciar sin diluir.</t>
  </si>
  <si>
    <t>Restricción por escenario</t>
  </si>
  <si>
    <t>Máximo 3 votos de un mismo votante en un mismo escenario. Fuerza a distribuir en al menos 4 escenarios distintos y evita concentrar la selección.</t>
  </si>
  <si>
    <t>Total de votos distribuidos</t>
  </si>
  <si>
    <t>30 (3 votantes × 10 votos)</t>
  </si>
  <si>
    <t>Criterio de selección</t>
  </si>
  <si>
    <t>Los 8 escenarios con más votos totales pasan a redactarse en formato SEI de 6 partes. El corte de 8 se justifica porque garantiza al menos 2 escenarios por stakeholder, se mantiene dentro del rango estándar del Mini QAW (6-10), y no satura el trabajo posterior de tácticas de Bass.</t>
  </si>
  <si>
    <t>Registro</t>
  </si>
  <si>
    <t>Los votos quedan registrados en la columna "Votos (Dot Voting)" de la hoja "Lluvia de escenarios". Los 8 seleccionados quedan resaltados en verde.</t>
  </si>
  <si>
    <t>Nota sobre esta iteración</t>
  </si>
  <si>
    <t>La votación registrada es una propuesta razonada del equipo con base en la priorización agregada por stakeholder (hoja Priorizacion QA), no una votación fáctica presencial. Se documenta así para trazabilidad y se ajustará si el equipo o el cliente informal aportan cambios.</t>
  </si>
  <si>
    <t>Mecánica de la Ronda Ampliada de Priorización (164 → 33 escenarios)</t>
  </si>
  <si>
    <t>Escalar el banco de escenarios de 44 a 164 propuestas (manteniendo los 4 stakeholders originales, cubriendo los 18 atributos de calidad del proyecto) y seleccionar un subconjunto ampliado (30-35) para especificación arquitectónica, preservando ambos conjuntos completos.</t>
  </si>
  <si>
    <t>Universo de escenarios propuestos</t>
  </si>
  <si>
    <t>164 escenarios = 132 escenarios de stakeholder (Administrador, Conductor, Pasajero, Operador logístico × 11 atributos de calidad orientados a negocio/UX, en 3 rondas de lluvia de escenarios) + 28 escenarios internos de arquitectura (Equipo técnico interno × 7 atributos técnicos: Mantenibilidad, Aislamiento entre tenants, Modificabilidad, Testabilidad, Observabilidad, Desplegabilidad, Reusabilidad) + 4 escenarios legales/de cumplimiento.</t>
  </si>
  <si>
    <t>Escenarios que NO compiten por votos</t>
  </si>
  <si>
    <t>Los 28 internos y los 4 legales no compiten en la ronda de priorización: no son preferencias de stakeholder sino necesidades arquitectónicas o regulatorias que el equipo debe atender de todas formas (igual que en la ronda 1 original). Quedan incluidos en 'Propuestos' con estado 'Interno (arquitectura)' y se consideran relevantes por defecto para el árbol de utilidad.</t>
  </si>
  <si>
    <t>Ronda 1 (histórica, votos reales)</t>
  </si>
  <si>
    <t>Los 8 escenarios ya seleccionados por votación real del equipo (Sebastián Zapata, Andrés Ortiz, Jhonny Benítez — ver hoja 'Reglas dot voting') se incorporan automáticamente a 'Seleccionados'. Estado: 'Seleccionado (voto original)'.</t>
  </si>
  <si>
    <t>Ronda ampliada (164 → 25 nuevos seleccionados)</t>
  </si>
  <si>
    <t>Sobre los 124 escenarios nuevos de stakeholder ('Ampliado (nuevo)'), se aplicó una regla de puntaje transparente y reproducible en lugar de una votación presencial (inviable para 124 ítems con 3 votantes reales): puntaje = peso_global_del_atributo (hoja 'Priorizacion QA') × factor_prioridad, donde factor_prioridad replica el tope de 3 votos/escenario de la ronda original (Alta=3, Media=2, Baja=1).</t>
  </si>
  <si>
    <t>Cuota por atributo</t>
  </si>
  <si>
    <t>Se definió una cuota de 25 escenarios nuevos, distribuida proporcionalmente al peso global de cada uno de los 11 atributos de stakeholder (redondeo estándar). Ej.: Seguridad (peso 0.140) → 4 cupos; Escalabilidad (peso 0.057) → 1 cupo. Dentro de cada atributo se seleccionan primero las prioridades más altas, rotando entre los 4 stakeholders (round-robin global) para garantizar diversidad de fuentes.</t>
  </si>
  <si>
    <t>Total seleccionados</t>
  </si>
  <si>
    <t>33 escenarios seleccionados. Se mantienen los 8 de la ronda original y 25 de la ronda ampliada. Tras la actualización del alcance, ADM-INTEROP-02 (RRHH/CSV) y PAS-PORT-01 (duplicado de portabilidad) fueron sustituidos por TEL-INTEROP-01 (telemetría GPS) y PAS-AUD-03 (calificación), preservando el total de 33 y la cobertura de atributos.</t>
  </si>
  <si>
    <t>Escenarios propuestos no seleccionados</t>
  </si>
  <si>
    <t>Los escenarios no seleccionados del pool se conservan como banco exploratorio. No representan compromisos vigentes ni decisiones arquitectónicas; solo pueden incorporarse si una necesidad de negocio posterior los justifica.</t>
  </si>
  <si>
    <t>El pool completo permanece en 'Escenarios Propuestos (164)' y el subconjunto vigente de 33 en 'Escenarios Sei seleccionados(33'. La hoja de tácticas y los Building Blocks se derivan únicamente de los 33 seleccionados vigentes.</t>
  </si>
  <si>
    <t>Nota metodológica</t>
  </si>
  <si>
    <t>La priorización ponderada es un mecanismo reproducible, no una votación inventada. Los dos reemplazos posteriores responden a decisiones de alcance ya consolidadas: RRHH/CSV queda fuera y Telemetría + Calificación entran en V1.</t>
  </si>
  <si>
    <t>Banco de Escenarios de Calidad PROPUESTOS — FlowRide · 164 escenarios en formato SEI</t>
  </si>
  <si>
    <t>Los escenarios seleccionados están alineados con la línea base vigente. Los no seleccionados se conservan como banco exploratorio y NO constituyen alcance, requisito ni decisión arquitectónica hasta que exista un driver que los active.</t>
  </si>
  <si>
    <t>#</t>
  </si>
  <si>
    <t>Código</t>
  </si>
  <si>
    <t>Estado</t>
  </si>
  <si>
    <t>Votos / Puntaje</t>
  </si>
  <si>
    <t>Fuente del estímulo</t>
  </si>
  <si>
    <t>Estímulo</t>
  </si>
  <si>
    <t>Ambiente</t>
  </si>
  <si>
    <t>Artefacto</t>
  </si>
  <si>
    <t>Respuesta</t>
  </si>
  <si>
    <t>Medida de la respuesta</t>
  </si>
  <si>
    <t>ADM-SEG-01</t>
  </si>
  <si>
    <t>Seleccionado (voto original)</t>
  </si>
  <si>
    <t>Alta</t>
  </si>
  <si>
    <t>Desactiva a un usuario que ya no debe acceder a FlowRide.</t>
  </si>
  <si>
    <t>Operación normal; el usuario puede conservar una sesión o token de acceso vigente en Panel Web o WhatsApp.</t>
  </si>
  <si>
    <t>Servicio de identidad y sesiones; autorización por roles; resolución del tenant Silo.</t>
  </si>
  <si>
    <t>El sistema revoca el acceso del usuario en todos los canales y rechaza cualquier petición posterior. La sesión permanece limitada al tenant al que pertenece.</t>
  </si>
  <si>
    <t>100% de las peticiones posteriores se rechazan en un máximo de 60 segundos desde la desactivación; 0 accesos cruzados entre tenants en pruebas automatizadas.</t>
  </si>
  <si>
    <t>COND-DISP-01</t>
  </si>
  <si>
    <t>Solicita por WhatsApp el detalle del servicio asignado.</t>
  </si>
  <si>
    <t>Franja crítica de arranque de turnos; sistema en producción y carga operativa alta.</t>
  </si>
  <si>
    <t>Adaptador de WhatsApp Business; API de FlowRide; persistencia transaccional del tenant.</t>
  </si>
  <si>
    <t>El sistema identifica al conductor y responde con el detalle vigente de su servicio.</t>
  </si>
  <si>
    <t>Respuesta P95 &lt;5 segundos durante la franja crítica; disponibilidad mensual del canal WhatsApp ≥99,9%.</t>
  </si>
  <si>
    <t>PAS-DISP-01</t>
  </si>
  <si>
    <t>Envía por WhatsApp una solicitud de transporte con origen, destino y hora requerida.</t>
  </si>
  <si>
    <t>Operación nocturna o madrugada; carga normal o pico de solicitudes programadas.</t>
  </si>
  <si>
    <t>Adaptador de WhatsApp Business; Gestión de Solicitudes; motor de asignación.</t>
  </si>
  <si>
    <t>El sistema valida y registra la solicitud, confirma su recepción y continúa el proceso de asignación sin perderla aunque el motor esté temporalmente ocupado.</t>
  </si>
  <si>
    <t>Confirmación de recepción P95 &lt;10 segundos; disponibilidad mensual del canal WhatsApp ≥99,9%; 0 solicitudes confirmadas perdidas.</t>
  </si>
  <si>
    <t>OPLOG-REND-01</t>
  </si>
  <si>
    <t>Reasigna manualmente un servicio porque el conductor original quedó indisponible.</t>
  </si>
  <si>
    <t>Producción; jornada operativa normal con posibles acciones concurrentes sobre la misma asignación.</t>
  </si>
  <si>
    <t>Panel Web; API; motor de asignación; persistencia transaccional.</t>
  </si>
  <si>
    <t>El sistema valida disponibilidad, aplica una única reasignación válida y confirma el cambio al operador.</t>
  </si>
  <si>
    <t>Operación CRUD P95 &lt;500 ms y P99 &lt;1,5 s en backend; 0 dobles reasignaciones confirmadas ante concurrencia.</t>
  </si>
  <si>
    <t>OPLOG-ACC-01</t>
  </si>
  <si>
    <t>Necesita ejecutar las 10 acciones más frecuentes del día (asignar, reasignar, consultar, filtrar) usando únicamente el teclado</t>
  </si>
  <si>
    <t>Panel administrativo en jornada laboral típica de 8 horas continuas</t>
  </si>
  <si>
    <t>Panel web administrativo; capa de UI</t>
  </si>
  <si>
    <t>El sistema expone atajos de teclado documentados para las 10 acciones más frecuentes y permite navegación completa con Tab/Shift+Tab</t>
  </si>
  <si>
    <t>100% de las 10 acciones más frecuentes ejecutables únicamente con teclado. Un operador completa un flujo típico de asignación de servicio en &lt;30 segundos sin usar el mouse.</t>
  </si>
  <si>
    <t>PAS-CONF-01</t>
  </si>
  <si>
    <t>Telemetría GPS del vehículo durante un viaje en curso</t>
  </si>
  <si>
    <t>La ubicación recibida indica que el ETA actualizado se desvía más de 5 minutos respecto del ETA comunicado.</t>
  </si>
  <si>
    <t>Producción; viaje activo con telemetría disponible.</t>
  </si>
  <si>
    <t>Módulo de Telemetría; detector de desviación de ETA; servicio de notificaciones WhatsApp.</t>
  </si>
  <si>
    <t>El sistema registra la desviación, actualiza la estimación y genera una alerta operacional y una notificación al pasajero cuando corresponda.</t>
  </si>
  <si>
    <t>Desviaciones &gt;5 minutos detectadas y notificadas en &lt;60 segundos desde que existe evidencia suficiente en la telemetría; 0 reasignaciones automáticas basadas únicamente en cercanía GPS.</t>
  </si>
  <si>
    <t>OPLOG-AUD-01</t>
  </si>
  <si>
    <t>Consulta el historial de cambios de un servicio para investigar una reasignación, cancelación o incidente.</t>
  </si>
  <si>
    <t>Operación normal; consulta de información histórica dentro del tenant.</t>
  </si>
  <si>
    <t>Servicio y almacén de auditoría del tenant.</t>
  </si>
  <si>
    <t>El sistema presenta quién ejecutó cada acción, timestamp, tipo de cambio, motivo cuando aplique y valores relevantes anterior/nuevo.</t>
  </si>
  <si>
    <t>100% de las acciones sensibles quedan registradas; consulta de auditoría P95 &lt;5 segundos; retención legal de auditoría de 5 años.</t>
  </si>
  <si>
    <t>PAS-UX-01</t>
  </si>
  <si>
    <t>Media</t>
  </si>
  <si>
    <t>Necesita solicitar un servicio de transporte por primera vez, sin capacitación previa y sin instalar ninguna aplicación adicional</t>
  </si>
  <si>
    <t>Pasajero interactuando desde su celular personal usando únicamente WhatsApp</t>
  </si>
  <si>
    <t>Módulo de Integración WhatsApp; flujo conversacional guiado</t>
  </si>
  <si>
    <t>El sistema guía al pasajero por un flujo conversacional en WhatsApp hasta completar la solicitud, sin requerir descargas ni registro adicional</t>
  </si>
  <si>
    <t>≥90% de los pasajeros completan su primera solicitud exitosamente sin ayuda externa. Tiempo promedio del flujo conversacional de primera solicitud &lt;3 minutos.</t>
  </si>
  <si>
    <t>ADM-REND-01</t>
  </si>
  <si>
    <t>Seleccionado (ronda ampliada)</t>
  </si>
  <si>
    <t>Administrador del operador cliente, desde el Panel Web Administrativo</t>
  </si>
  <si>
    <t>Abre el dashboard operativo del día o solicita el reporte histórico de operación al iniciar su jornada</t>
  </si>
  <si>
    <t>Operación normal, inicio de jornada (7-9am), carga concurrente típica del tenant</t>
  </si>
  <si>
    <t>Endpoints de dashboard/reportes; capa de consulta/agregación con caché opcional solo para datos de baja volatilidad.</t>
  </si>
  <si>
    <t>El sistema retorna el dashboard y los reportes operacionales sin consultar datos de otros tenants.</t>
  </si>
  <si>
    <t>Reportes operacionales P95 &lt;2 s y P99 &lt;5 s; cualquier caché utilizada debe poder invalidarse sin afectar la fuente de verdad.</t>
  </si>
  <si>
    <t>ADM-DISP-01</t>
  </si>
  <si>
    <t>Un administrador (y los conductores y pasajeros de su empresa) que dependen del sistema durante la franja critica de arranque de turnos (03:00-05:00)</t>
  </si>
  <si>
    <t>Justo en esa franja ocurre una falla no planeada de infraestructura (instancia backend o BD) y el sistema deja de responder</t>
  </si>
  <si>
    <t>Produccion, franja critica de arranque de operacion semanal</t>
  </si>
  <si>
    <t>Backend .NET + PostgreSQL; balanceador de carga</t>
  </si>
  <si>
    <t>El balanceador redirige trafico y el sistema se recupera sin que el administrador tenga que intervenir manualmente, restableciendo el servicio para todos los usuarios de la franja critica</t>
  </si>
  <si>
    <t>Uptime ≥ 99.5% mensual (≤3.65h indisponibilidad/mes); en franja crítica 03:00-05:00 la tolerancia se reduce a ≤5 min de indisponibilidad continua antes de escalamiento automático; failover ≤30s.</t>
  </si>
  <si>
    <t>ADM-CONF-01</t>
  </si>
  <si>
    <t>Ampliado (nuevo)</t>
  </si>
  <si>
    <t>Consulta el mismo reporte histórico de viajes en dos días distintos sin que haya nuevas operaciones registradas en el período consultado</t>
  </si>
  <si>
    <t>Operación normal</t>
  </si>
  <si>
    <t>Módulo de Reportes; base de datos transaccional PostgreSQL</t>
  </si>
  <si>
    <t>El sistema retorna resultados idénticos y consistentes para el mismo rango de fechas consultado</t>
  </si>
  <si>
    <t>100% de consistencia entre consultas repetidas del mismo período cerrado (0 variaciones); reportes de períodos cerrados son inmutables, verificado por prueba automatizada de regresión mensual.</t>
  </si>
  <si>
    <t>ADM-AUD-01</t>
  </si>
  <si>
    <t>Solicita el rastro completo de una solicitud de transporte específica (quién la creó, desde qué canal, IP/dispositivo, timestamp) para resolver una disputa de cobro</t>
  </si>
  <si>
    <t>Operación normal, consulta reactiva ante reclamo</t>
  </si>
  <si>
    <t>BD flowride_audit; módulo de Auditoría y Trazabilidad</t>
  </si>
  <si>
    <t>El sistema retorna el registro completo de creación de la solicitud con usuarioId, canal (WhatsApp/Panel), IP de origen o número de WhatsApp, y timestamp</t>
  </si>
  <si>
    <t>Retención mínima 12 meses; consulta responde en ≤5 s; 100% de solicitudes creadas quedan con su origen registrado de forma inmutable.</t>
  </si>
  <si>
    <t>ADM-PORT-01</t>
  </si>
  <si>
    <t>Accede al Panel Web Administrativo desde distintos dispositivos y navegadores (Chrome, Edge, Safari en tablet)</t>
  </si>
  <si>
    <t>Operación normal, fuera de la oficina habitual</t>
  </si>
  <si>
    <t>Panel Web Administrativo (frontend responsive)</t>
  </si>
  <si>
    <t>El sistema presenta la misma funcionalidad y datos sin pérdida de capacidades entre dispositivos</t>
  </si>
  <si>
    <t>100% de las funciones críticas operables en los 3 navegadores principales (Chrome, Edge, Safari) con diseño responsive validado en resoluciones ≥768px; 0 funcionalidades exclusivas de un solo navegador.</t>
  </si>
  <si>
    <t>ADM-ACC-01</t>
  </si>
  <si>
    <t>Administrador del operador sin perfil técnico avanzado</t>
  </si>
  <si>
    <t>Ejecuta por primera vez una tarea administrativa común (dar de alta un usuario, revisar un reporte) sin capacitación previa</t>
  </si>
  <si>
    <t>Primer uso, sin soporte en línea disponible</t>
  </si>
  <si>
    <t>Panel Web Administrativo; capa de UI con textos guía y validaciones inline</t>
  </si>
  <si>
    <t>El sistema guía al administrador con mensajes claros de error/ayuda contextual y confirma cada acción crítica</t>
  </si>
  <si>
    <t>≥85% de administradores nuevos completan sin ayuda externa las 3 tareas administrativas más comunes en su primera sesión; tiempo promedio por tarea ≤3 minutos.</t>
  </si>
  <si>
    <t>ADM-CAP-01</t>
  </si>
  <si>
    <t>Baja</t>
  </si>
  <si>
    <t>Un administrador de una empresa cliente cuya plantilla ha ido creciendo trimestre a trimestre</t>
  </si>
  <si>
    <t>Sigue dando de alta, consultando y gestionando usuarios con normalidad, aunque el numero de usuarios activos de su tenant haya pasado de 200 a 500 en el trimestre</t>
  </si>
  <si>
    <t>Producción, tenant único creciendo dentro de la plataforma multi-tenant</t>
  </si>
  <si>
    <t>Modelo de datos multi-tenant (empresaId); capa de aplicación y BD</t>
  </si>
  <si>
    <t>El sistema absorbe el crecimiento del tenant sin requerir cambios de configuración, migración de datos ni degradación del servicio para ese cliente</t>
  </si>
  <si>
    <t>Tiempo de respuesta P95 de endpoints operativos del tenant se mantiene ≤2 s tras el crecimiento; 0 intervención manual de reconfiguración requerida por el equipo técnico.</t>
  </si>
  <si>
    <t>ADM-ESC-01</t>
  </si>
  <si>
    <t>Un administrador de una empresa cliente que acaba de firmar un contrato grande de transporte corporativo</t>
  </si>
  <si>
    <t>Ve como el volumen de solicitudes de transporte de su empresa se multiplica por 3 en una semana (de 50 a 150 solicitudes/dia) y espera que la plataforma lo siga sosteniendo sin fallar</t>
  </si>
  <si>
    <t>Producción, pico sostenido de demanda de un tenant</t>
  </si>
  <si>
    <t>Backend .NET (instancias horizontales); motor de asignación</t>
  </si>
  <si>
    <t>El sistema escala agregando capacidad sin que el administrador perciba degradación</t>
  </si>
  <si>
    <t>Tiempo de respuesta P95 se mantiene ≤2 s durante el incremento de 3x en volumen; escalado horizontal completado en ≤5 minutos desde que se detecta el aumento de carga.</t>
  </si>
  <si>
    <t>ADM-UX-01</t>
  </si>
  <si>
    <t>Administrador del operador nuevo en el rol</t>
  </si>
  <si>
    <t>Debe aprender a operar el Panel Web Administrativo para las tareas de gestión diaria (usuarios, reportes, configuración)</t>
  </si>
  <si>
    <t>Primeras dos semanas de uso, sin curso formal previo</t>
  </si>
  <si>
    <t>Panel Web Administrativo</t>
  </si>
  <si>
    <t>El sistema permite que el administrador alcance dominio funcional de las tareas core sin entrenamiento formal extenso</t>
  </si>
  <si>
    <t>Curva de aprendizaje ≤5 días hábiles para dominar las tareas administrativas principales (reducción de tiempo por tarea ≥50% entre día 1 y día 5); 0 llamadas a soporte por confusión de interfaz en la primera semana para ≥80% de administradores nuevos.</t>
  </si>
  <si>
    <t>ADM-INTEROP-01</t>
  </si>
  <si>
    <t>El area de RRHH de una empresa cliente que evalua, a futuro, conectar sus propios sistemas de nomina con FlowRide</t>
  </si>
  <si>
    <t>Pregunta si mas adelante podria consumir los datos operativos de sus empleados (usuarios, asistencia a servicios) desde su propio sistema externo, sin que esto implique un cambio disruptivo cuando llegue el momento</t>
  </si>
  <si>
    <t>Diseño de arquitectura, sin integración activa aún requerida por ningún cliente</t>
  </si>
  <si>
    <t>Capa API REST del backend</t>
  </si>
  <si>
    <t>El sistema expone sus datos operativos mediante contratos REST/JSON documentados y versionados, sin requerir cambios estructurales para una futura integración</t>
  </si>
  <si>
    <t>100% de los endpoints operativos relevantes documentados en Swagger/OpenAPI; una integración externa nueva podría consumir datos de un tenant sin cambios en el modelo de dominio existente, validado por revisión arquitectónica.</t>
  </si>
  <si>
    <t>COND-REND-01</t>
  </si>
  <si>
    <t>Conductor, vía WhatsApp</t>
  </si>
  <si>
    <t>Envía el comando "LLEGUE" para marcar que arribó al punto de recogida</t>
  </si>
  <si>
    <t>Operación normal, en movimiento, durante un servicio activo</t>
  </si>
  <si>
    <t>Endpoint del bot conversacional de WhatsApp; módulo de actualización de estado del viaje</t>
  </si>
  <si>
    <t>El sistema confirma la recepción y actualiza el estado del viaje</t>
  </si>
  <si>
    <t>Confirmación entregada al conductor en ≤3 s en el percentil 95.</t>
  </si>
  <si>
    <t>COND-SEG-01</t>
  </si>
  <si>
    <t>Tercero no autorizado</t>
  </si>
  <si>
    <t>Intenta interactuar con el bot de WhatsApp usando el número del conductor desde un dispositivo distinto, o responder a una asignación sin ser el número validado</t>
  </si>
  <si>
    <t>Módulo de Integración WhatsApp; validación de identidad por número de teléfono asociado al usuarioId</t>
  </si>
  <si>
    <t>El sistema valida que el número de origen del mensaje coincide con el número registrado del conductor antes de procesar cualquier acción sobre una asignación; si no coincide, rechaza la acción</t>
  </si>
  <si>
    <t>100% de acciones críticas (aceptar/rechazar servicio, iniciar/finalizar viaje) validadas contra el número registrado; 0 acciones ejecutadas exitosamente desde un número no asociado.</t>
  </si>
  <si>
    <t>COND-ACC-01</t>
  </si>
  <si>
    <t>Conductor en zona de cobertura de red limitada</t>
  </si>
  <si>
    <t>Envía o recibe mensajes de WhatsApp con conexión de datos intermitente (2G/señal baja)</t>
  </si>
  <si>
    <t>Zona rural o de baja cobertura, operación normal</t>
  </si>
  <si>
    <t>Adaptador de WhatsApp Business y mecanismo de reintento de mensajes.</t>
  </si>
  <si>
    <t>El sistema conserva el estado conversacional y reintenta entrega/confirmación cuando la conectividad vuelve a ser suficiente.</t>
  </si>
  <si>
    <t>Mensajes pendientes se reintentan hasta 3 veces en una ventana de 10 minutos; 0 pérdida del estado conversacional ante interrupciones de hasta 10 minutos.</t>
  </si>
  <si>
    <t>COND-CONF-01</t>
  </si>
  <si>
    <t>Motor de Asignación / Operador logístico</t>
  </si>
  <si>
    <t>Un conductor acepta un servicio por WhatsApp y, en paralelo, el operador intenta reasignarlo manualmente</t>
  </si>
  <si>
    <t>Producción, condición de carrera entre aceptación del conductor y reasignación manual</t>
  </si>
  <si>
    <t>Módulo de Asignación; control de concurrencia optimista sobre la entidad Asignación</t>
  </si>
  <si>
    <t>El sistema resuelve el conflicto de forma determinística (la primera transacción confirmada prevalece) y notifica claramente al conductor y al operador el estado final, sin dejar la asignación ambigua</t>
  </si>
  <si>
    <t>0 asignaciones en estado inconsistente o duplicado ante conflictos concurrentes, verificado por tests de concurrencia; notificación del resultado final al conductor en ≤5 s tras resolverse el conflicto.</t>
  </si>
  <si>
    <t>COND-UX-01</t>
  </si>
  <si>
    <t>Conductor operando el vehículo</t>
  </si>
  <si>
    <t>Necesita aceptar o rechazar un servicio asignado mientras conduce o en condiciones de baja visibilidad</t>
  </si>
  <si>
    <t>Operación normal, interacción con manos ocupadas o visibilidad reducida</t>
  </si>
  <si>
    <t>Flujo conversacional del bot de WhatsApp</t>
  </si>
  <si>
    <t>El sistema permite aceptar/rechazar el servicio con una única palabra clave corta (ej. "SI"/"NO") sin menús anidados</t>
  </si>
  <si>
    <t>Aceptación o rechazo de un servicio requiere máximo 1 mensaje de respuesta (0 pasos intermedios); ≥95% de conductores completan la acción en su primer intento sin error de formato.</t>
  </si>
  <si>
    <t>COND-ESC-01</t>
  </si>
  <si>
    <t>Crecimiento del operador de transporte</t>
  </si>
  <si>
    <t>La cantidad de conductores activos crece desde el caso ancla (5–10) hasta el techo dimensionable de 50 y aumenta el pico de usuarios simultáneos.</t>
  </si>
  <si>
    <t>Producción; arranque de turno con hasta 200 usuarios simultáneos en la instancia.</t>
  </si>
  <si>
    <t>Adaptador WhatsApp; API; procesamiento asíncrono de mensajes.</t>
  </si>
  <si>
    <t>El sistema absorbe el pico sin degradar los tiempos individuales del conductor y sin bloquear la recepción del webhook.</t>
  </si>
  <si>
    <t>Hasta 200 usuarios simultáneos por instancia manteniendo las metas de rendimiento vigentes; webhook responde/acepta mensajes sin pérdida confirmada.</t>
  </si>
  <si>
    <t>COND-AUD-01</t>
  </si>
  <si>
    <t>Solicita (vía operador, o consulta futura self-service) su propio historial de horarios reales de inicio y recogida de un servicio específico</t>
  </si>
  <si>
    <t>Operación normal, revisión posterior a un reclamo</t>
  </si>
  <si>
    <t>BD flowride_audit; eventos de cambio de estado del viaje</t>
  </si>
  <si>
    <t>El sistema presenta el timestamp exacto de cada cambio de estado del viaje (inicio, llegada al punto de recogida, finalización) reportado por el conductor</t>
  </si>
  <si>
    <t>100% de los cambios de estado del viaje quedan registrados con timestamp de origen en menos de 1 segundo desde su ocurrencia; consulta del historial de un viaje específico responde en ≤3 s.</t>
  </si>
  <si>
    <t>COND-CAP-01</t>
  </si>
  <si>
    <t>Volumen general de conductores conectados a la plataforma en simultáneo (multi-tenant)</t>
  </si>
  <si>
    <t>500 conductores de distintos tenants están activos y enviando actualizaciones de estado en la misma ventana horaria</t>
  </si>
  <si>
    <t>Producción, hora pico multi-tenant</t>
  </si>
  <si>
    <t>Backend .NET; filtro global por empresaId</t>
  </si>
  <si>
    <t>El sistema atiende a cada conductor de forma aislada de la carga generada por otros tenants, sin que el volumen total afecte el tiempo de respuesta individual</t>
  </si>
  <si>
    <t>Tiempo de respuesta P95 para un conductor individual se mantiene ≤3 s independientemente de que existan hasta 500 conductores activos simultáneos en la plataforma.</t>
  </si>
  <si>
    <t>COND-PORT-01</t>
  </si>
  <si>
    <t>Conductor con equipo dañado o prestado</t>
  </si>
  <si>
    <t>Usa un dispositivo distinto al habitual pero con su mismo número de WhatsApp registrado</t>
  </si>
  <si>
    <t>Operación normal, cambio temporal de dispositivo</t>
  </si>
  <si>
    <t>Módulo de Integración WhatsApp; identidad ligada al número telefónico, no al dispositivo</t>
  </si>
  <si>
    <t>El sistema reconoce al conductor por su número de WhatsApp sin importar el dispositivo físico usado</t>
  </si>
  <si>
    <t>100% de continuidad operativa al cambiar de dispositivo manteniendo el mismo número: 0 reconfiguración o re-registro requerido.</t>
  </si>
  <si>
    <t>COND-INTEROP-01</t>
  </si>
  <si>
    <t>Recibe la notificación de un nuevo servicio asignado por WhatsApp</t>
  </si>
  <si>
    <t>Módulo de Notificaciones; generación de mensaje con enlace de geolocalización</t>
  </si>
  <si>
    <t>El sistema incluye en la notificación un enlace directo con las coordenadas de origen/destino, abrible en Google Maps o Waze</t>
  </si>
  <si>
    <t>100% de las notificaciones de asignación incluyen un enlace de geolocalización válido y funcional en al menos una app de navegación externa.</t>
  </si>
  <si>
    <t>PAS-SEG-01</t>
  </si>
  <si>
    <t>Administrador u Operador logístico de la empresa del pasajero</t>
  </si>
  <si>
    <t>Intenta consultar el detalle (origen/destino) de una solicitud de transporte marcada como personal/fuera de turno de un pasajero</t>
  </si>
  <si>
    <t>Módulo de Gestión de Solicitudes; control de visibilidad por tipo de solicitud y rol</t>
  </si>
  <si>
    <t>El sistema oculta el detalle de origen/destino de solicitudes personales a roles administrativos que no sean el propio pasajero, mostrando solo el estado agregado (activo/completado)</t>
  </si>
  <si>
    <t>100% de solicitudes marcadas como personales bloquean el detalle de ubicación a roles Administrador/Operador Logístico, verificado por prueba de autorización automatizada; 0 excepciones registradas en auditoría de accesos.</t>
  </si>
  <si>
    <t>PAS-REND-01</t>
  </si>
  <si>
    <t>Pasajero, vía WhatsApp</t>
  </si>
  <si>
    <t>Envía una solicitud de transporte urgente por WhatsApp</t>
  </si>
  <si>
    <t>Módulo de Integración WhatsApp; procesador conversacional</t>
  </si>
  <si>
    <t>El sistema responde de inmediato confirmando recepción, y notifica la asignación tan pronto se complete</t>
  </si>
  <si>
    <t>Confirmación de recepción en ≤10 s en el percentil 95; confirmación de conductor asignado en ≤3 minutos en el percentil 95 durante operación normal.</t>
  </si>
  <si>
    <t>PAS-ACC-01</t>
  </si>
  <si>
    <t>Pasajero en zona de señal débil</t>
  </si>
  <si>
    <t>Envía una solicitud por WhatsApp desde un lugar con cobertura intermitente</t>
  </si>
  <si>
    <t>Señal baja/intermitente, operación normal</t>
  </si>
  <si>
    <t>Webhook de WhatsApp (proveedor de WhatsApp Business); mecanismo de reintento y cola de mensajes</t>
  </si>
  <si>
    <t>El sistema procesa el mensaje en cuanto la señal se restablece, sin pedir al pasajero que repita la solicitud completa</t>
  </si>
  <si>
    <t>Mensajes entregados con retraso de hasta 5 minutos por intermitencia de señal se procesan correctamente sin pérdida de contexto conversacional en el 100% de los casos.</t>
  </si>
  <si>
    <t>PAS-AUD-01</t>
  </si>
  <si>
    <t>Pasajero o Administrador del operador</t>
  </si>
  <si>
    <t>Se disputa la autoría de una solicitud de transporte específica</t>
  </si>
  <si>
    <t>Operación normal, revisión de disputa</t>
  </si>
  <si>
    <t>BD flowride_audit</t>
  </si>
  <si>
    <t>El sistema presenta el registro inmutable de quién creó la solicitud, desde qué número/canal y en qué momento</t>
  </si>
  <si>
    <t>100% de solicitudes creadas quedan asociadas de forma inmutable a un usuarioId y canal de origen; consulta de disputa resuelta en ≤5 s.</t>
  </si>
  <si>
    <t>PAS-AUD-03</t>
  </si>
  <si>
    <t>Pasajero asociado a un viaje finalizado</t>
  </si>
  <si>
    <t>Califica al conductor con puntaje y comentario opcional desde WhatsApp.</t>
  </si>
  <si>
    <t>Viaje finalizado; pasajero identificado y conversación válida.</t>
  </si>
  <si>
    <t>Módulo de Calificaciones; entidad Viaje; canal WhatsApp.</t>
  </si>
  <si>
    <t>El sistema valida que el pasajero perteneció al viaje, registra una única calificación vinculada al viaje y confirma la recepción.</t>
  </si>
  <si>
    <t>100% de calificaciones aceptadas vinculadas a un viaje finalizado válido; 0 calificaciones duplicadas activas por pasajero/viaje; confirmación al usuario &lt;5 s P95.</t>
  </si>
  <si>
    <t>PAS-CAP-01</t>
  </si>
  <si>
    <t>Grupo de pasajeros del mismo tenant al finalizar turno</t>
  </si>
  <si>
    <t>100 pasajeros de la misma empresa envían solicitudes de transporte en una ventana de 10 minutos</t>
  </si>
  <si>
    <t>Producción, pico de demanda concentrado por fin de turno</t>
  </si>
  <si>
    <t>Cola de procesamiento de solicitudes; motor de asignación</t>
  </si>
  <si>
    <t>El sistema encola y procesa todas las solicitudes sin rechazos ni pérdida de mensajes</t>
  </si>
  <si>
    <t>100% de las solicitudes recibidas en la ventana pico quedan registradas (0 pérdidas); tiempo de confirmación de recepción P95 ≤15 s incluso con 100 solicitudes concurrentes del mismo tenant.</t>
  </si>
  <si>
    <t>PAS-INTEROP-01</t>
  </si>
  <si>
    <t>Recibe la confirmación de asignación de su servicio por WhatsApp</t>
  </si>
  <si>
    <t>Módulo de Notificaciones</t>
  </si>
  <si>
    <t>El sistema incluye en el mensaje de confirmación un enlace a la ubicación/ruta visualizable en una app de mapas externa</t>
  </si>
  <si>
    <t>100% de confirmaciones de asignación incluyen un enlace de mapa funcional.</t>
  </si>
  <si>
    <t>PAS-ESC-01</t>
  </si>
  <si>
    <t>Un pasajero de una de las muchas empresas que ya usan FlowRide, en una plataforma que sigue sumando nuevos clientes</t>
  </si>
  <si>
    <t>Solicita su transporte con normalidad, sin notar ninguna diferencia aunque el total de pasajeros activos en la plataforma haya crecido de 1.000 a 10.000</t>
  </si>
  <si>
    <t>Producción, crecimiento multi-tenant agregado</t>
  </si>
  <si>
    <t>Backend completo; arquitectura multi-tenant</t>
  </si>
  <si>
    <t>El sistema mantiene el nivel de servicio percibido por cada pasajero individual sin relación con el crecimiento de otros tenants</t>
  </si>
  <si>
    <t>Tiempo de respuesta P95 percibido por un pasajero individual se mantiene ≤10 s para confirmación de solicitud, independiente del crecimiento total de la base de tenants hasta 10.000 usuarios activos.</t>
  </si>
  <si>
    <t>OPLOG-SEG-01</t>
  </si>
  <si>
    <t>Operador logístico autenticado del tenant A</t>
  </si>
  <si>
    <t>Realiza cualquier consulta en el panel (listado de conductores, solicitudes, reportes) durante su jornada normal</t>
  </si>
  <si>
    <t>Producción, sistema multi-tenant</t>
  </si>
  <si>
    <t>Filtro global de EF Core por empresaId; capa de autorización</t>
  </si>
  <si>
    <t>El sistema retorna exclusivamente los datos del tenant del operador, sin ninguna filtración de otro tenant, incluso ante manipulación de parámetros en la petición</t>
  </si>
  <si>
    <t>100% de las consultas devuelven únicamente datos con empresaId igual al del operador autenticado; 0 fugas de datos cross-tenant verificadas por pruebas automatizadas de aislamiento.</t>
  </si>
  <si>
    <t>OPLOG-CAP-01</t>
  </si>
  <si>
    <t>Gestiona simultáneamente las asignaciones de los 3 turnos operativos del día (mañana, tarde, noche) desde el panel</t>
  </si>
  <si>
    <t>Producción, pico de operación con máxima carga concurrente del tenant</t>
  </si>
  <si>
    <t>Panel web administrativo; motor de asignación</t>
  </si>
  <si>
    <t>El sistema soporta la carga de gestión simultánea de los 3 turnos sin degradar el tiempo de respuesta de las acciones del operador</t>
  </si>
  <si>
    <t>Tiempo de respuesta P95 de acciones del panel (asignar, reasignar, consultar) se mantiene ≤2 s incluso con los 3 turnos activos y hasta 50 asignaciones simultáneas en pantalla.</t>
  </si>
  <si>
    <t>OPLOG-ESC-01</t>
  </si>
  <si>
    <t>Crecimiento de la flota de conductores del tenant</t>
  </si>
  <si>
    <t>El número de conductores gestionados por el operador crece de 50 a 100</t>
  </si>
  <si>
    <t>Producción, crecimiento del tenant</t>
  </si>
  <si>
    <t>Panel web administrativo; listado y filtros de conductores</t>
  </si>
  <si>
    <t>El sistema mantiene la usabilidad y el rendimiento del listado y los filtros pese al crecimiento</t>
  </si>
  <si>
    <t>Tiempo de carga del listado de conductores P95 ≤2 s con hasta 100 conductores por tenant; filtros y búsquedas responden en ≤1 s.</t>
  </si>
  <si>
    <t>OPLOG-INTEROP-01</t>
  </si>
  <si>
    <t>Solicita exportar el reporte de operación de un período determinado</t>
  </si>
  <si>
    <t>Módulo de Reportes; generador de exportación</t>
  </si>
  <si>
    <t>El sistema genera un archivo exportable en formato estándar (CSV/Excel) con los datos del reporte solicitado</t>
  </si>
  <si>
    <t>Exportación de reportes de hasta 12 meses generada en ≤10 s; formato compatible con Excel/Google Sheets/Power BI en el 100% de los casos.</t>
  </si>
  <si>
    <t>OPLOG-PORT-01</t>
  </si>
  <si>
    <t>Operador logístico usando una máquina distinta a la habitual</t>
  </si>
  <si>
    <t>Inicia sesión en el Panel Web Administrativo desde un computador diferente al habitual</t>
  </si>
  <si>
    <t>Panel Web Administrativo; preferencias de usuario persistidas en el backend (no en almacenamiento local del navegador)</t>
  </si>
  <si>
    <t>El sistema recupera automáticamente los filtros y vistas guardadas del operador, asociados a su usuarioId y no al dispositivo</t>
  </si>
  <si>
    <t>100% de las vistas y filtros guardados disponibles al iniciar sesión desde cualquier dispositivo, en ≤2 s desde el login.</t>
  </si>
  <si>
    <t>OPLOG-UX-01</t>
  </si>
  <si>
    <t>Operador logístico en jornada operativa de 8 horas</t>
  </si>
  <si>
    <t>Consulta el panel de monitoreo operativo durante su turno</t>
  </si>
  <si>
    <t>Operación normal, uso intensivo continuo</t>
  </si>
  <si>
    <t>Panel Web Administrativo; dashboard de monitoreo</t>
  </si>
  <si>
    <t>El sistema presenta una vista densa configurable con la información crítica (servicios activos, conductores disponibles, alertas) visible sin necesidad de navegar entre pantallas</t>
  </si>
  <si>
    <t>≥90% de la información operativa crítica del turno visible en una sola pantalla sin scroll adicional, validado con el operador logístico de referencia; 0 clics adicionales para ver el estado agregado del turno.</t>
  </si>
  <si>
    <t>OPLOG-DISP-01</t>
  </si>
  <si>
    <t>Un Operador logístico que depende del sistema durante su turno para gestionar los servicios activos</t>
  </si>
  <si>
    <t>Justo en ese momento, una falla no planeada deja el sistema indisponible hasta por 20 minutos, fuera de la franja critica de arranque de turno</t>
  </si>
  <si>
    <t>Producción, fuera de la franja crítica de arranque de turno</t>
  </si>
  <si>
    <t>Backend completo</t>
  </si>
  <si>
    <t>El sistema notifica al equipo técnico y se recupera automáticamente sin pérdida de datos ya confirmados antes de la caída</t>
  </si>
  <si>
    <t>Uptime ≥99% mensual fuera de franjas críticas; recuperación automática en ≤20 minutos; 0 pérdida de datos confirmados previos a la caída.</t>
  </si>
  <si>
    <t>OPLOG-CONF-01</t>
  </si>
  <si>
    <t>Detecta un dato inconsistente en una asignación (ej. un conductor marcado como disponible que ya está en otro servicio)</t>
  </si>
  <si>
    <t>Panel Web Administrativo; módulo de reasignación manual</t>
  </si>
  <si>
    <t>El sistema permite al operador corregir manualmente el dato inconsistente y deja registro del ajuste en auditoría</t>
  </si>
  <si>
    <t>Corrección manual aplicada y reflejada en el sistema en ≤2 s; 100% de las correcciones manuales quedan registradas en auditoría con usuario y motivo.</t>
  </si>
  <si>
    <t>INT-MANT-01</t>
  </si>
  <si>
    <t>Interno (arquitectura)</t>
  </si>
  <si>
    <t>Equipo tecnico interno</t>
  </si>
  <si>
    <t>Equipo de desarrollo interno</t>
  </si>
  <si>
    <t>Se solicita agregar un nuevo módulo funcional (ejemplo: reportes ejecutivos por empresa)</t>
  </si>
  <si>
    <t>Ambiente de desarrollo</t>
  </si>
  <si>
    <t>Solución multi-proyecto (Domain, Application, Infrastructure, API)</t>
  </si>
  <si>
    <t>El módulo se agrega respetando la estructura por capas, sin modificar código existente en Domain y sin romper tests actuales</t>
  </si>
  <si>
    <t>Módulo nuevo integrado en ≤5 días-desarrollador; 0 tests existentes rotos tras la integración; cobertura de tests del nuevo módulo ≥70%.</t>
  </si>
  <si>
    <t>INT-AISL-01</t>
  </si>
  <si>
    <t>Aislamiento entre tenants</t>
  </si>
  <si>
    <t>Usuario autenticado de la empresa A</t>
  </si>
  <si>
    <t>Realiza una consulta al API intentando acceder a datos de la empresa B (por manipulación del empresaId en la petición)</t>
  </si>
  <si>
    <t>Operación normal, sistema multi-tenant en producción</t>
  </si>
  <si>
    <t>Capa de autorización + filtro global de EF Core por empresaId</t>
  </si>
  <si>
    <t>El sistema descarta la petición, no expone ningún dato de la empresa B y registra el intento en auditoría</t>
  </si>
  <si>
    <t>100% de accesos cruzados entre tenants son bloqueados; 0 fugas de datos entre empresaId distintos verificadas por tests automatizados.</t>
  </si>
  <si>
    <t>INT-MOD-01</t>
  </si>
  <si>
    <t>Modificabilidad</t>
  </si>
  <si>
    <t>Solicita agregar una nueva regla de asignación (ejemplo: priorizar conductores con menor kilometraje del día)</t>
  </si>
  <si>
    <t>Motor de Asignación (módulo interno)</t>
  </si>
  <si>
    <t>Se agrega la nueva regla como implementación de una interfaz de estrategia, sin modificar reglas existentes</t>
  </si>
  <si>
    <t>Regla nueva agregada en ≤2 días-desarrollador; 0 modificaciones a las reglas ya activas; cobertura de tests de la nueva regla ≥80%.</t>
  </si>
  <si>
    <t>INT-TEST-01</t>
  </si>
  <si>
    <t>Testabilidad</t>
  </si>
  <si>
    <t>Pipeline de integración continua (CI)</t>
  </si>
  <si>
    <t>Se ejecuta la suite completa de tests unitarios y de integración al hacer merge a main</t>
  </si>
  <si>
    <t>Ambiente de CI</t>
  </si>
  <si>
    <t>Proyectos FlowRide.Domain, FlowRide.Application, FlowRide.Infrastructure, FlowRide.API</t>
  </si>
  <si>
    <t>La suite corre de forma automatizada, sin dependencias humanas, y reporta cobertura</t>
  </si>
  <si>
    <t>Ejecución completa en ≤5 min; cobertura global ≥70%; cobertura de Domain ≥85%.</t>
  </si>
  <si>
    <t>INT-OBS-01</t>
  </si>
  <si>
    <t>Observabilidad</t>
  </si>
  <si>
    <t>Operador logístico o equipo técnico</t>
  </si>
  <si>
    <t>Se reporta que un viaje "no se asignó correctamente" hace 30 minutos</t>
  </si>
  <si>
    <t>Producción</t>
  </si>
  <si>
    <t>Módulo de Logging + Módulo de Auditoría</t>
  </si>
  <si>
    <t>El sistema permite trazar el flujo completo de la solicitud: recepción, evaluación de reglas, decisión y notificación</t>
  </si>
  <si>
    <t>100% de eventos críticos con log estructurado (JSON) que incluye traceId, empresaId, timestamp; tiempo para reconstruir el flujo ≤10 min.</t>
  </si>
  <si>
    <t>INT-DESP-01</t>
  </si>
  <si>
    <t>Desplegabilidad</t>
  </si>
  <si>
    <t>Equipo de operaciones</t>
  </si>
  <si>
    <t>Se libera una nueva versión del backend con corrección de un bug crítico</t>
  </si>
  <si>
    <t>Producción, horario laboral</t>
  </si>
  <si>
    <t>Backend .NET desplegado en producción</t>
  </si>
  <si>
    <t>La nueva versión se despliega mediante rolling update sin cortar el servicio</t>
  </si>
  <si>
    <t>Despliegue completo en ≤15 min; downtime percibido por el usuario = 0 s; rollback disponible en ≤5 min.</t>
  </si>
  <si>
    <t>INT-REUS-01</t>
  </si>
  <si>
    <t>Reusabilidad</t>
  </si>
  <si>
    <t>Se debe implementar un nuevo tipo de usuario (ejemplo: Supervisor de Flota)</t>
  </si>
  <si>
    <t>Módulo de Autenticación y Autorización + entidad base Usuario</t>
  </si>
  <si>
    <t>El nuevo tipo de usuario reutiliza el flujo existente de registro, login y JWT sin duplicar código</t>
  </si>
  <si>
    <t>≥80% del código de autenticación reutilizado sin modificación; nuevo rol operativo en ≤2 días-desarrollador.</t>
  </si>
  <si>
    <t>LEGAL-WSP-01</t>
  </si>
  <si>
    <t>Legal/cumplimiento</t>
  </si>
  <si>
    <t>Política comercial de Meta / restricción contractual de proveedor de WhatsApp Business</t>
  </si>
  <si>
    <t>Han transcurrido más de 24 horas desde el último mensaje entrante del usuario y el sistema necesita enviarle una notificación saliente (recordatorio, cambio de estado, confirmación)</t>
  </si>
  <si>
    <t>Módulo de Notificaciones; catálogo de plantillas de mensaje aprobadas por Meta</t>
  </si>
  <si>
    <t>El sistema detecta que la ventana de 24h expiró y envía la notificación usando una plantilla pre-aprobada en lugar de un mensaje de formato libre</t>
  </si>
  <si>
    <t>100% de los mensajes enviados fuera de la ventana de 24h usan plantilla aprobada (0 mensajes de formato libre fuera de ventana); 0 bloqueos del número comercial por incumplimiento de política de Meta en el período de medición.</t>
  </si>
  <si>
    <t>LEGAL-HD-01</t>
  </si>
  <si>
    <t>Titular de datos personales (pasajero o conductor) ejerciendo su derecho bajo la Ley 1581 de 2012</t>
  </si>
  <si>
    <t>Solicita al administrador de su empresa la eliminación o anonimización de sus datos personales</t>
  </si>
  <si>
    <t>Operación normal, fuera de solicitudes o viajes activos del titular</t>
  </si>
  <si>
    <t>Módulo de Gestión de Usuarios; bases de datos flowride_core y flowride_audit</t>
  </si>
  <si>
    <t>El sistema anonimiza o elimina los datos personales identificables del titular en los módulos operativos, preservando únicamente lo necesario para cumplimiento legal/contable en flowride_audit</t>
  </si>
  <si>
    <t>Solicitud de eliminación procesada y confirmada en ≤15 días hábiles (plazo legal); 100% de campos de identificación directa (nombre, teléfono, correo) anonimizados en la BD operativa tras confirmación.</t>
  </si>
  <si>
    <t>ADM-REND-02</t>
  </si>
  <si>
    <t>El administrador de RRHH de una empresa cliente (por ejemplo, una operadora logística con 300 empleados) inicia el proceso de onboarding masivo tras cerrar un nuevo contrato de transporte corporativo.</t>
  </si>
  <si>
    <t>El administrador carga un archivo con los datos de 50 nuevos empleados (pasajeros y conductores) y solicita el alta masiva desde el Panel Web Administrativo.</t>
  </si>
  <si>
    <t>Horario laboral (10:00-12:00), backend en producción con carga concurrente normal (~20 sesiones administrativas activas), base de datos PostgreSQL con el volumen habitual de la empresa (~300 registros previos en la tabla Usuarios).</t>
  </si>
  <si>
    <t>Endpoint REST POST /api/v1/empresas/{empresaId}/usuarios/lote, implementado por UsuarioBulkCreationService en la capa Application, que hashea contraseñas con BCrypt antes de persistir vía EF Core.</t>
  </si>
  <si>
    <t>El sistema valida cada registro, genera contraseñas temporales hasheadas con BCrypt y persiste los 50 usuarios asociados al empresaId del administrador en una única operación por lotes, devolviendo un resumen de éxitos y errores por fila.</t>
  </si>
  <si>
    <t>El lote de 50 usuarios se procesa completamente en ≤8 segundos en el percentil 95, con un throughput mínimo de 6 usuarios/segundo, sin bloquear otras operaciones concurrentes del mismo tenant.</t>
  </si>
  <si>
    <t>ADM-SEG-02</t>
  </si>
  <si>
    <t>Administrador del operador del tenant A</t>
  </si>
  <si>
    <t>Intenta modificar un usuario o recurso perteneciente al tenant B mediante manipulación directa de identificadores.</t>
  </si>
  <si>
    <t>Producción; sesión administrativa válida en tenant A.</t>
  </si>
  <si>
    <t>Autorización por roles; resolución de tenant; persistencia Silo.</t>
  </si>
  <si>
    <t>La petición se rechaza antes de ejecutar una operación sobre recursos externos al tenant de la sesión y el intento queda auditado.</t>
  </si>
  <si>
    <t>100% de intentos cross-tenant rechazados; 0 escrituras en persistencia de otro tenant; evento de seguridad registrado para cada intento.</t>
  </si>
  <si>
    <t>ADM-CAP-02</t>
  </si>
  <si>
    <t>Filtra o pagina la lista de usuarios del tenant por rol y estado.</t>
  </si>
  <si>
    <t>Producción; instancia Silo con hasta 500 pasajeros y 50 conductores registrados.</t>
  </si>
  <si>
    <t>API de usuarios; persistencia relacional del tenant; índices de consulta.</t>
  </si>
  <si>
    <t>El sistema pagina y filtra los usuarios sin recorrer datos de otros tenants.</t>
  </si>
  <si>
    <t>Consulta P95 &lt;500 ms con el techo dimensionable de usuarios del tenant; CPU de la instancia dentro de límites operativos definidos por monitoreo.</t>
  </si>
  <si>
    <t>ADM-ESC-02</t>
  </si>
  <si>
    <t>Una empresa cliente que actualmente tiene 150 empleados registrados anuncia la duplicación de su plantilla tras ganar una licitación de transporte de personal.</t>
  </si>
  <si>
    <t>El administrador ejecuta tres cargas masivas sucesivas (mediante el endpoint de alta por lote) en el transcurso de una semana hasta alcanzar 300 empleados registrados.</t>
  </si>
  <si>
    <t>Producción, sin cambios de infraestructura ni reconfiguración manual del backend entre cargas, base de datos PostgreSQL compartida (multi-tenant) con otras empresas activas.</t>
  </si>
  <si>
    <t>Servicio UsuarioBulkCreationService y la tabla Usuarios particionada lógicamente por empresaId, junto con el pool de conexiones de EF Core configurado en Npgsql.</t>
  </si>
  <si>
    <t>El sistema absorbe el crecimiento del volumen de usuarios de la empresa sin requerir cambios de código, migraciones manuales ni intervención de infraestructura.</t>
  </si>
  <si>
    <t>El tiempo de procesamiento por lote de 50 usuarios no aumenta más de un 15% al pasar de 150 a 300 usuarios totales de la empresa, y no se requiere ninguna modificación de esquema ni de configuración durante el proceso.</t>
  </si>
  <si>
    <t>ADM-DISP-02</t>
  </si>
  <si>
    <t>El motor de asignación automática de viajes (AsignacionEngine) experimenta una degradación de rendimiento por una sobrecarga puntual de solicitudes de asignación en hora pico.</t>
  </si>
  <si>
    <t>Mientras el motor de asignación está degradado, un administrador intenta dar de alta a un nuevo conductor y desactivar a un operador logístico que dejó la empresa.</t>
  </si>
  <si>
    <t>Producción, hora pico (7:00-9:00 a.m.), el módulo de asignación reporta tiempos de respuesta elevados o timeouts, pero la base de datos central sigue operativa.</t>
  </si>
  <si>
    <t>Controlador UsuariosController y su capa de servicios en Application, desplegados de forma independiente del AsignacionEngine y con su propio pool de conexiones a PostgreSQL.</t>
  </si>
  <si>
    <t>El sistema permite completar el alta y la baja lógica de usuarios con normalidad, sin que la degradación del motor de asignación afecte la disponibilidad del módulo de gestión de usuarios.</t>
  </si>
  <si>
    <t>El módulo de gestión de usuarios mantiene una disponibilidad ≥99.5% medida en ventanas mensuales, incluso durante incidentes de degradación del motor de asignación, con 0 dependencias síncronas bloqueantes entre ambos módulos.</t>
  </si>
  <si>
    <t>ADM-CONF-02</t>
  </si>
  <si>
    <t>Un administrador reclasifica a un usuario que actualmente es Pasajero para que pase a ser Operador logístico, tras un cambio interno de funciones en la empresa.</t>
  </si>
  <si>
    <t>El administrador confirma el cambio de rol desde el Panel Web Administrativo, y en el mismo instante ocurre una interrupción de red entre el navegador y el backend.</t>
  </si>
  <si>
    <t>Producción, la solicitud llega parcialmente al servidor (falla de red tras el envío), la base de datos PostgreSQL está disponible y operativa.</t>
  </si>
  <si>
    <t>Servicio UsuarioRolService en la capa Application, que ejecuta el cambio de rol dentro de una transacción explícita de EF Core (DbContext.Database.BeginTransactionAsync) sobre la tabla Usuarios.</t>
  </si>
  <si>
    <t>El sistema garantiza que el cambio de rol se aplica de forma completa (commit) o no se aplica en absoluto (rollback), sin dejar al usuario en un estado intermedio ni revertir el cambio de forma espontánea en accesos posteriores.</t>
  </si>
  <si>
    <t>0% de cambios de rol quedan en estado inconsistente (aplicado parcialmente o revertido sin acción del administrador) en pruebas de fallos inyectados sobre 200 transacciones simuladas, con una tasa de éxito transaccional del 100% verificada en logs de auditoría.</t>
  </si>
  <si>
    <t>ADM-ACC-02</t>
  </si>
  <si>
    <t>Un administrador que utiliza un lector de pantalla (NVDA) por baja visión necesita registrar un nuevo conductor en la plataforma.</t>
  </si>
  <si>
    <t>El administrador navega el formulario de alta de usuario únicamente con teclado (Tab, Shift+Tab, Enter) y con el lector de pantalla activo, sin usar el mouse.</t>
  </si>
  <si>
    <t>Panel Web Administrativo en un navegador de escritorio estándar (Chrome/Edge), con NVDA en su configuración por defecto.</t>
  </si>
  <si>
    <t>Componente FormularioAltaUsuario del Panel Web Administrativo (frontend), incluyendo sus campos de entrada, mensajes de validación y botón de envío.</t>
  </si>
  <si>
    <t>El sistema permite completar y enviar el formulario de alta de usuario íntegramente por teclado, anunciando correctamente por voz cada campo, su etiqueta, su estado de error y la confirmación de éxito.</t>
  </si>
  <si>
    <t>El formulario cumple con el nivel AA de las pautas WCAG 2.1 verificado con una auditoría automatizada (axe-core, 0 errores críticos) y permite completar el alta en ≤10 pasos de tabulación, sin trampas de foco (focus traps).</t>
  </si>
  <si>
    <t>ADM-AUD-02</t>
  </si>
  <si>
    <t>El área de cumplimiento de una empresa cliente solicita revisar quién autorizó el ascenso de un pasajero al rol de Operador logístico, tres meses después del cambio.</t>
  </si>
  <si>
    <t>Un administrador realiza un cambio de rol sobre un usuario, y posteriormente el equipo de cumplimiento consulta el historial de ese usuario.</t>
  </si>
  <si>
    <t>Producción, consulta realizada varios meses después del evento original, sobre datos históricos ya no visibles en la vista operativa habitual.</t>
  </si>
  <si>
    <t>Tabla AuditoriaCambios (append-only) poblada mediante un SaveChangesInterceptor de EF Core que captura usuario ejecutor, timestamp, valor anterior y valor nuevo del campo Rol.</t>
  </si>
  <si>
    <t>El sistema registra de forma inmutable el identificador del administrador que ejecutó el cambio, la fecha y hora exactas, y los valores de rol anterior y posterior, disponibles para consulta posterior.</t>
  </si>
  <si>
    <t>100% de los cambios de rol quedan registrados en AuditoriaCambios con los cinco campos obligatorios (ejecutor, empresaId, timestamp, valor anterior, valor nuevo), con una retención mínima de 24 meses y un tiempo de consulta ≤2 segundos para el historial de un usuario individual.</t>
  </si>
  <si>
    <t>TEL-INTEROP-01</t>
  </si>
  <si>
    <t>Fuente de telemetría GPS autorizada</t>
  </si>
  <si>
    <t>Envía eventos de ubicación de vehículos asociados a viajes en curso.</t>
  </si>
  <si>
    <t>Producción; hasta 50 vehículos/conductores reportando aproximadamente cada 30 segundos.</t>
  </si>
  <si>
    <t>Adaptador de telemetría; servicio de ingesta; RegistroUbicacion.</t>
  </si>
  <si>
    <t>El sistema valida el evento, lo asocia al tenant, vehículo y viaje correctos, persiste la ubicación aceptada y aísla eventos inválidos sin interrumpir el flujo.</t>
  </si>
  <si>
    <t>Throughput sostenido ≥100 eventos/min por instancia; ≥99% de eventos bien formados aceptados; eventos inválidos no detienen la ingesta.</t>
  </si>
  <si>
    <t>ADM-PORT-02</t>
  </si>
  <si>
    <t>Un administrador que se encuentra fuera de la oficina necesita dar de baja a un conductor que reportó una incidencia grave, y solo dispone de su teléfono celular.</t>
  </si>
  <si>
    <t>El administrador accede al Panel Web Administrativo desde el navegador de su smartphone (pantalla de 6 pulgadas) para inactivar al usuario.</t>
  </si>
  <si>
    <t>Red móvil 4G, navegador Chrome para Android o Safari para iOS, sin instalación de aplicación nativa.</t>
  </si>
  <si>
    <t>Vista responsive ListaUsuarios y el formulario de edición de usuario del Panel Web Administrativo (frontend), construidos con diseño adaptable (responsive/mobile-first).</t>
  </si>
  <si>
    <t>El sistema renderiza correctamente el listado y el formulario de gestión de usuarios en la resolución del dispositivo móvil, permitiendo completar la inactivación sin necesidad de zoom manual ni desplazamiento horizontal.</t>
  </si>
  <si>
    <t>La funcionalidad de gestión de usuarios opera sin pérdida de funciones en anchos de viewport desde 360px, con 0 elementos recortados u ocultos, verificado en al menos 3 combinaciones de dispositivo/navegador móvil.</t>
  </si>
  <si>
    <t>ADM-UX-02</t>
  </si>
  <si>
    <t>Un administrador que gestiona usuarios por primera vez en la plataforma necesita registrar a un nuevo pasajero sin haber recibido capacitación previa.</t>
  </si>
  <si>
    <t>El administrador hace clic en 'Nuevo usuario' y completa el formulario de alta guiándose únicamente por las etiquetas y mensajes en pantalla.</t>
  </si>
  <si>
    <t>Primer uso del módulo (sin experiencia previa), Panel Web Administrativo en su versión de producción, sin asistencia de soporte técnico.</t>
  </si>
  <si>
    <t>Flujo de alta de usuario (wizard de 3 pasos) del Panel Web Administrativo, junto con las reglas de validación expuestas por UsuarioValidator (FluentValidation) en la API.</t>
  </si>
  <si>
    <t>El sistema guía al administrador en un flujo corto con validaciones en línea que indican de forma específica el campo y el motivo del error (por ejemplo, 'El documento ya está registrado para otro usuario de esta empresa'), sin mensajes técnicos genéricos.</t>
  </si>
  <si>
    <t>El 90% de los administradores sin capacitación previa completan el alta de un usuario en ≤4 pasos y en ≤2 minutos, con una tasa de error de validación no resuelto en el primer intento ≤10%, medido en pruebas de usabilidad con 20 participantes.</t>
  </si>
  <si>
    <t>ADM-REND-03</t>
  </si>
  <si>
    <t>El administrador de una empresa cliente ajusta la prioridad de asignación de conductores para dar preferencia a quienes tienen mejor calificación, tras detectar quejas recurrentes de pasajeros.</t>
  </si>
  <si>
    <t>El administrador modifica el orden de una regla existente en el editor de reglas de asignación y guarda el cambio desde el Panel Web Administrativo.</t>
  </si>
  <si>
    <t>Producción, en horario de operación activa con solicitudes de viaje entrando al motor de asignación de forma continua (~50 solicitudes/minuto).</t>
  </si>
  <si>
    <t>Endpoint PUT /api/v1/empresas/{empresaId}/reglas-asignacion/{reglaId} y el mecanismo de invalidación de caché (IMemoryCache distribuido vía Redis) consumido por MotorAsignacionService.</t>
  </si>
  <si>
    <t>El sistema persiste el cambio en la tabla ReglasAsignacion y notifica al motor de asignación para que recargue el conjunto de reglas vigente sin reiniciar el servicio.</t>
  </si>
  <si>
    <t>El nuevo orden de reglas se refleja en las decisiones del motor de asignación en ≤5 segundos desde la confirmación del guardado, en el percentil 95, sin que se pierda ninguna solicitud de asignación en curso.</t>
  </si>
  <si>
    <t>ADM-SEG-03</t>
  </si>
  <si>
    <t>Un administrador de la empresa 'Rutas del Sur' intenta consultar o modificar, por manipulación directa de parámetros de la API, las reglas de asignación configuradas por otra empresa competidora en la misma plataforma.</t>
  </si>
  <si>
    <t>El administrador envía una solicitud PUT /api/v1/empresas/{otroEmpresaId}/reglas-asignacion/{reglaId} usando un empresaId distinto al de su token JWT.</t>
  </si>
  <si>
    <t>Producción, token JWT válido y vigente emitido para su propia empresa, solicitud fuera del flujo normal del panel.</t>
  </si>
  <si>
    <t>Filtro global de EF Core (Global Query Filter) sobre la entidad ReglaAsignacion y la política de autorización basada en claims ('empresaId') validada en el endpoint PUT /api/v1/empresas/{empresaId}/reglas-asignacion/{reglaId}.</t>
  </si>
  <si>
    <t>El sistema deniega la solicitud con HTTP 403 Forbidden sin ejecutar ninguna operación de lectura o escritura sobre las reglas de la otra empresa, y registra el intento como evento de seguridad.</t>
  </si>
  <si>
    <t>100% de los intentos de acceso cruzado entre empresas a la configuración de reglas son bloqueados antes de tocar la base de datos, con 0 casos de fuga de configuración detectados en pruebas de penetración sobre 50 endpoints de configuración.</t>
  </si>
  <si>
    <t>ADM-CAP-03</t>
  </si>
  <si>
    <t>Una empresa cliente con operación compleja (múltiples sedes, turnos y categorías de pasajeros) configura un conjunto extenso de reglas de asignación para cubrir todos sus casos operativos.</t>
  </si>
  <si>
    <t>El administrador activa la regla número 40 de su empresa, sumándose a las 39 reglas ya activas simultáneamente.</t>
  </si>
  <si>
    <t>Producción, hora pico de solicitudes de viaje, motor de asignación procesando asignaciones en tiempo real para toda la empresa.</t>
  </si>
  <si>
    <t>MotorAsignacionService (motor de reglas) y la tabla ReglasAsignacion, indexada por (EmpresaId, Activa, Orden), consultada en cada ciclo de asignación.</t>
  </si>
  <si>
    <t>El sistema evalúa el conjunto completo de reglas activas de la empresa para cada solicitud de asignación sin degradar el tiempo de respuesta del motor a medida que aumenta el número de reglas.</t>
  </si>
  <si>
    <t>El motor de asignación mantiene un tiempo de evaluación de reglas ≤200 ms por solicitud en el percentil 95 con hasta 50 reglas activas simultáneas por empresa, sin incremento de errores de asignación respecto a un escenario con 10 reglas activas.</t>
  </si>
  <si>
    <t>ADM-ESC-03</t>
  </si>
  <si>
    <t>Una empresa cliente que operaba con una única sede en Bogotá abre dos nuevas sedes en Medellín y Cali, cada una con sus propias áreas y dependencias internas.</t>
  </si>
  <si>
    <t>El administrador registra las dos nuevas sedes, con sus respectivas áreas y dependencias, en la configuración inicial de empresa.</t>
  </si>
  <si>
    <t>Producción, sin intervención del equipo de desarrollo ni despliegue de una nueva versión del sistema.</t>
  </si>
  <si>
    <t>Tablas Sedes, Areas y Dependencias del modelo de datos de configuración (esquema jerárquico), gestionadas por ConfiguracionEmpresaService en la capa Application.</t>
  </si>
  <si>
    <t>El sistema permite crear las nuevas sedes, áreas y dependencias directamente desde el panel de configuración, quedando disponibles de inmediato para su uso en la creación de usuarios y reglas de asignación.</t>
  </si>
  <si>
    <t>El alta de una nueva sede completa (con hasta 10 áreas y 20 dependencias asociadas) se completa en ≤5 minutos de trabajo del administrador y no requiere ninguna migración de base de datos ni cambio de código, verificado en al menos 3 empresas con estructuras organizacionales distintas.</t>
  </si>
  <si>
    <t>ADM-DISP-03</t>
  </si>
  <si>
    <t>Un administrador que necesita ajustar la configuracion de su empresa justo cuando el panel de configuracion sufre una caida puntual por mantenimiento no planificado de uno de sus servicios dependientes</t>
  </si>
  <si>
    <t>Mientras el panel esta caido y el no puede hacer cambios, las solicitudes de viaje que van llegando de todas formas deben seguir resolviendose con las reglas vigentes de su empresa</t>
  </si>
  <si>
    <t>Producción, ventana de indisponibilidad del panel de configuración de hasta 10 minutos, motor de asignación operando de forma independiente.</t>
  </si>
  <si>
    <t>Caché en memoria/Redis de snapshot de reglas (RulesSnapshotCache) consumida por MotorAsignacionService, desacoplada del ConfiguracionController que sirve al panel administrativo.</t>
  </si>
  <si>
    <t>El sistema continúa aplicando el último conjunto de reglas de asignación vigente para cada empresa a partir del snapshot en caché, sin interrumpir el proceso de asignación de viajes mientras el panel de configuración está caído.</t>
  </si>
  <si>
    <t>El motor de asignación mantiene una disponibilidad ≥99.9% incluso durante caídas del panel de configuración de hasta 15 minutos, aplicando las reglas del último snapshot válido sin pérdida de solicitudes de asignación.</t>
  </si>
  <si>
    <t>ADM-CONF-03</t>
  </si>
  <si>
    <t>Un administrador, al editar una regla de asignación mediante el editor visual, introduce una condición con un valor fuera de rango (por ejemplo, un porcentaje de ocupación negativo) por error de digitación.</t>
  </si>
  <si>
    <t>El administrador guarda la regla mal formada desde el Panel Web Administrativo.</t>
  </si>
  <si>
    <t>Producción, el resto de las reglas activas de la empresa (hasta 30) están correctamente configuradas y en uso por el motor de asignación.</t>
  </si>
  <si>
    <t>Componente ReglaAsignacionValidator en la capa Application, invocado antes de la persistencia por el endpoint PUT /api/v1/empresas/{empresaId}/reglas-asignacion/{reglaId}, sobre la tabla ReglasAsignacion.</t>
  </si>
  <si>
    <t>El sistema rechaza la persistencia de la regla inválida antes de escribirla en la base de datos, informa al administrador el motivo específico del rechazo y mantiene sin cambios el resto de las reglas activas de la empresa.</t>
  </si>
  <si>
    <t>100% de las reglas con valores fuera de rango o sintaxis inválida son rechazadas antes de la persistencia, con 0 casos de corrupción o afectación de otras reglas activas registrados en 100 pruebas de guardado con datos inválidos.</t>
  </si>
  <si>
    <t>ADM-ACC-03</t>
  </si>
  <si>
    <t>Un administrador sin formación técnica en lógica booleana necesita configurar una regla que asigne conductores con vehículo tipo 'van' a pasajeros con movilidad reducida.</t>
  </si>
  <si>
    <t>El administrador crea una nueva regla de asignación utilizando el editor visual del Panel Web Administrativo, sin escribir código ni expresiones lógicas.</t>
  </si>
  <si>
    <t>Primer uso del editor de reglas, sin capacitación previa, Panel Web Administrativo en su versión de producción.</t>
  </si>
  <si>
    <t>Componente EditorReglasAsignacion del Panel Web Administrativo (frontend), con interfaz de bloques tipo 'si-entonces' (condición-acción) en lugar de edición de expresiones crudas.</t>
  </si>
  <si>
    <t>El sistema permite construir la condición y la acción de la regla seleccionando opciones predefinidas en menús desplegables y campos guiados, mostrando en lenguaje natural un resumen de la regla antes de guardarla.</t>
  </si>
  <si>
    <t>El 85% de los administradores sin formación técnica logran crear una regla de asignación funcional en ≤5 minutos y sin asistencia externa, medido en pruebas de usabilidad con 20 participantes.</t>
  </si>
  <si>
    <t>ADM-AUD-03</t>
  </si>
  <si>
    <t>El área de operaciones de una empresa cliente necesita determinar por qué una regla de priorización de conductores dejó de aplicarse la semana anterior, tras recibir quejas de pasajeros preferenciales.</t>
  </si>
  <si>
    <t>Un administrador desactiva una regla de asignación desde el panel, y días después el equipo de operaciones consulta el historial de cambios de configuración.</t>
  </si>
  <si>
    <t>Producción, consulta realizada varios días después del evento, sobre el historial de configuración de reglas de la empresa.</t>
  </si>
  <si>
    <t>Tabla HistorialConfiguracionReglas (append-only), poblada por un interceptor de auditoría en el servicio ReglaAsignacionService que registra activaciones y desactivaciones.</t>
  </si>
  <si>
    <t>El sistema registra de forma inmutable qué administrador activó o desactivó cada regla, la fecha y hora exactas, y el estado anterior y posterior de la regla, disponibles para consulta desde el panel.</t>
  </si>
  <si>
    <t>100% de las activaciones/desactivaciones de reglas quedan registradas en HistorialConfiguracionReglas con los campos obligatorios (ejecutor, regla, timestamp, estado anterior, estado nuevo), con retención mínima de 24 meses y tiempo de consulta ≤2 segundos por regla.</t>
  </si>
  <si>
    <t>ADM-INTEROP-03</t>
  </si>
  <si>
    <t>El equipo técnico de una empresa cliente prueba un nuevo conjunto de reglas de asignación en un ambiente de desarrollo antes de aplicarlas en producción.</t>
  </si>
  <si>
    <t>El administrador exporta el conjunto completo de reglas de asignación validadas en el ambiente de desarrollo y las importa en el ambiente de producción de la misma empresa.</t>
  </si>
  <si>
    <t>Ambientes de desarrollo y producción con esquemas de base de datos equivalentes (misma versión de la plataforma), operación realizada fuera de horario pico.</t>
  </si>
  <si>
    <t>Endpoints GET /api/v1/empresas/{empresaId}/reglas-asignacion/exportar y POST /api/v1/empresas/{empresaId}/reglas-asignacion/importar, con formato de intercambio JSON versionado, implementados en ReglasAsignacionExportService.</t>
  </si>
  <si>
    <t>El sistema serializa el conjunto de reglas en un formato JSON estándar y versionado, y al importarlo en el otro ambiente valida su compatibilidad de esquema antes de aplicarlo, sin duplicar ni sobrescribir reglas de forma silenciosa.</t>
  </si>
  <si>
    <t>El 100% de las reglas exportadas desde desarrollo se importan correctamente en producción sin pérdida ni alteración de datos, en un proceso de exportación/importación que toma ≤30 segundos para un conjunto de hasta 50 reglas.</t>
  </si>
  <si>
    <t>ADM-PORT-03</t>
  </si>
  <si>
    <t>Un administrador de una empresa cliente utiliza distintos navegadores según el equipo desde el que trabaja (oficina con Firefox, casa con Chrome, laptop de respaldo con Edge).</t>
  </si>
  <si>
    <t>El administrador accede al módulo de configuración de empresa desde tres navegadores distintos en el transcurso de la misma semana, sin instalar complementos adicionales.</t>
  </si>
  <si>
    <t>Navegadores estándar actualizados (Chrome, Firefox, Edge, Safari) en sus versiones estables más recientes, sin dependencias de plugins como Flash, Java Applets o ActiveX.</t>
  </si>
  <si>
    <t>Módulo ConfiguracionEmpresa del Panel Web Administrativo, construido como aplicación web estándar (HTML5/CSS3/JavaScript) sin dependencias de tecnologías propietarias.</t>
  </si>
  <si>
    <t>El sistema presenta la misma funcionalidad y comportamiento de configuración de empresa en cualquiera de los navegadores estándar soportados, sin requerir instalación de software adicional.</t>
  </si>
  <si>
    <t>El módulo de configuración de empresa opera con el 100% de sus funciones disponibles en las 2 últimas versiones estables de Chrome, Firefox, Edge y Safari, con 0 defectos de compatibilidad críticos reportados por navegador en pruebas de regresión cross-browser.</t>
  </si>
  <si>
    <t>ADM-UX-03</t>
  </si>
  <si>
    <t>Un administrador necesita desactivar temporalmente una regla de asignación durante un evento especial (por ejemplo, una feria) en el que las condiciones normales de asignación no aplican.</t>
  </si>
  <si>
    <t>El administrador localiza la regla en el listado de reglas de asignación y cambia su estado de activa a inactiva.</t>
  </si>
  <si>
    <t>Producción, Panel Web Administrativo en uso normal, sin coordinación previa con el equipo técnico ni necesidad de intervención de desarrollo.</t>
  </si>
  <si>
    <t>Control de tipo interruptor (toggle) sobre el campo Activa de la tabla ReglasAsignacion, expuesto mediante el endpoint PATCH /api/v1/empresas/{empresaId}/reglas-asignacion/{reglaId}/estado.</t>
  </si>
  <si>
    <t>El sistema cambia el estado de la regla de forma inmediata con una sola acción del administrador, sin requerir guardar un formulario completo ni desplegar una nueva versión del motor de asignación.</t>
  </si>
  <si>
    <t>El cambio de estado de una regla se completa en ≤2 clics y se refleja en el motor de asignación en ≤5 segundos, con una tasa de éxito del 100% en pruebas funcionales sobre 30 activaciones/desactivaciones consecutivas.</t>
  </si>
  <si>
    <t>COND-REND-02</t>
  </si>
  <si>
    <t>Un conductor envía por WhatsApp el mensaje 'DISPONIBLE' al iniciar su turno de la mañana.</t>
  </si>
  <si>
    <t>El webhook de proveedor de WhatsApp Business recibe el mensaje entrante y debe propagar el nuevo estado de disponibilidad al motor de asignación antes de que este último ejecute su siguiente ciclo de búsqueda de conductores.</t>
  </si>
  <si>
    <t>Sistema en producción, horario pico de inicio de turno (6:00-7:00 a.m.), con aproximadamente 150 conductores conectados simultáneamente en el mismo tenant.</t>
  </si>
  <si>
    <t>Endpoint POST /api/v1/webhooks/twilio/inbound y el servicio DisponibilidadService.ActualizarEstado(), que escriben sobre la tabla ConductorEstadoActual consultada directamente por AssignmentEngine.ObtenerConductoresDisponibles().</t>
  </si>
  <si>
    <t>El sistema actualiza el registro de ConductorEstadoActual y lo hace visible para el motor de asignación de forma inmediata, sin pasos de sincronización por lotes.</t>
  </si>
  <si>
    <t>El estado actualizado está disponible para el motor de asignación en ≤2 segundos en el percentil 95, medido desde la recepción del webhook hasta el commit en base de datos.</t>
  </si>
  <si>
    <t>COND-SEG-02</t>
  </si>
  <si>
    <t>Un usuario no autorizado (o un conductor de otra empresa) intenta modificar el número de licencia de un conductor distinto mediante una llamada directa a la API.</t>
  </si>
  <si>
    <t>Se recibe una solicitud PUT sobre los datos de licencia de un conductor cuyo conductorId no corresponde al token JWT del solicitante ni al rol de Administrador del operador del mismo tenant.</t>
  </si>
  <si>
    <t>Entorno de producción, acceso mediante API REST fuera del flujo conversacional de WhatsApp (por ejemplo, un cliente HTTP directo o Postman).</t>
  </si>
  <si>
    <t>Endpoint PUT /api/v1/conductores/{id}/datos-licencia del ConductoresController, protegido por el Authorization Handler personalizado SameConductorOrCompanyAdmin.</t>
  </si>
  <si>
    <t>El sistema rechaza la solicitud sin modificar el registro y registra el intento como evento de seguridad.</t>
  </si>
  <si>
    <t>100% de las solicitudes que no cumplen la política de autorización son rechazadas con HTTP 403, y el evento queda registrado en ≤1 segundo tras el rechazo.</t>
  </si>
  <si>
    <t>COND-CAP-02</t>
  </si>
  <si>
    <t>Al inicio del turno matutino, todos los conductores activos de una empresa envían por WhatsApp su reporte de disponibilidad en un lapso de pocos minutos.</t>
  </si>
  <si>
    <t>Se reciben de forma casi simultánea hasta 300 mensajes de actualización de estado (Disponible/No disponible) provenientes de distintos conductores del mismo tenant.</t>
  </si>
  <si>
    <t>Producción, ventana de inicio de turno (6:00-6:15 a.m.), carga concurrente elevada frente al promedio del resto del día.</t>
  </si>
  <si>
    <t>Job en segundo plano Hangfire IniciarTurnoBatchProcessor, que procesa las actualizaciones sobre la tabla ConductorEstadoActual usando control de concurrencia optimista mediante columna RowVersion.</t>
  </si>
  <si>
    <t>El sistema procesa todas las actualizaciones sin bloqueos mutuos ni pérdida de escrituras, resolviendo los conflictos de concurrencia mediante reintento automático.</t>
  </si>
  <si>
    <t>El sistema procesa 300 actualizaciones concurrentes en ≤10 segundos totales, con 0% de actualizaciones perdidas y ≤2 reintentos por conflicto de concurrencia.</t>
  </si>
  <si>
    <t>COND-ESC-02</t>
  </si>
  <si>
    <t>El área de operaciones de una empresa cliente incorpora 40 conductores nuevos en una semana como parte de una expansión de flota.</t>
  </si>
  <si>
    <t>El Administrador del operador registra en el sistema, de forma consecutiva, el alta de cada conductor nuevo con su número de licencia y datos personales.</t>
  </si>
  <si>
    <t>Producción, proceso de alta ejecutado en lote durante horario administrativo, sin afectar el volumen de tráfico transaccional del canal WhatsApp.</t>
  </si>
  <si>
    <t>Endpoint POST /api/v1/conductores y el manejador Application.Conductores.RegistrarConductorCommandHandler, sobre la tabla Conductores particionada lógicamente por EmpresaId.</t>
  </si>
  <si>
    <t>El sistema registra cada alta de forma independiente y disponibiliza al conductor para asignación de servicios sin degradar el tiempo de respuesta de otras operaciones en curso.</t>
  </si>
  <si>
    <t>El tiempo de respuesta del endpoint de alta se mantiene en ≤1.5 segundos en el percentil 95 durante el registro de hasta 50 conductores nuevos en una misma jornada, sin incremento superior al 10% en la latencia de otros endpoints del mismo módulo.</t>
  </si>
  <si>
    <t>COND-DISP-02</t>
  </si>
  <si>
    <t>El módulo de facturación/reportería del backend presenta una degradación temporal por saturación de su base de datos, mientras un conductor reporta su disponibilidad por WhatsApp.</t>
  </si>
  <si>
    <t>Se recibe un mensaje de cambio de estado de disponibilidad mientras un módulo no relacionado del backend (reportería) está momentáneamente no disponible.</t>
  </si>
  <si>
    <t>Producción, incidente parcial que afecta solo al módulo de reportería, con el resto de la plataforma operando con normalidad.</t>
  </si>
  <si>
    <t>Módulo DisponibilidadCache (Redis), desacoplado del resto del backend mediante el patrón circuit breaker (Polly) frente al servicio ConductorEstadoActual.</t>
  </si>
  <si>
    <t>El sistema continúa procesando y reflejando los cambios de disponibilidad de forma normal, sin verse afectado por la degradación de módulos no relacionados.</t>
  </si>
  <si>
    <t>El módulo de disponibilidad mantiene un 99.9% de disponibilidad mensual incluso durante degradaciones aisladas de otros módulos, verificado en los registros de monitoreo.</t>
  </si>
  <si>
    <t>COND-CONF-02</t>
  </si>
  <si>
    <t>Un conductor que acaba de terminar un servicio</t>
  </si>
  <si>
    <t>Cambia su estado de 'No disponible' a 'Disponible' justo cuando el motor de asignacion esta evaluando candidatos para un servicio entrante, y espera que ese cambio se tenga en cuenta de inmediato</t>
  </si>
  <si>
    <t>Produccion, hora de alta demanda de servicios, con el motor de asignacion evaluando candidatos en el mismo instante en que el conductor cambia su estado</t>
  </si>
  <si>
    <t>Patrón outbox (tabla OutboxMessages y worker OutboxProcessor) que sincroniza de forma consistente ConductorEstadoActual con la caché de lectura consumida por AssignmentEngine.</t>
  </si>
  <si>
    <t>El sistema garantiza que el motor de asignacion siempre lo considere con su ultimo estado confirmado, sin dejarlo fuera de la asignacion por usar un valor de disponibilidad desactualizado</t>
  </si>
  <si>
    <t>0 casos de asignación basados en estado de disponibilidad desactualizado por más de 3 segundos, verificado en pruebas de concurrencia con al menos 1000 ciclos de asignación.</t>
  </si>
  <si>
    <t>COND-ACC-02</t>
  </si>
  <si>
    <t>Un conductor con bajo nivel de alfabetización digital y experiencia limitada con aplicaciones móviles necesita reportar que ya no está disponible para recibir servicios.</t>
  </si>
  <si>
    <t>El conductor envía un único mensaje corto por WhatsApp (por ejemplo 'NO DISPONIBLE' o simplemente 'NO') sin seguir un formulario estructurado ni menú de múltiples pasos.</t>
  </si>
  <si>
    <t>Producción, canal WhatsApp como único punto de interacción, conductor sin acceso a la aplicación web administrativa.</t>
  </si>
  <si>
    <t>Parser de comandos WhatsAppIntentParser dentro del proveedor de WhatsApp BusinessWebhookController, que reconoce variantes coloquiales de las palabras clave de disponibilidad.</t>
  </si>
  <si>
    <t>El sistema interpreta el mensaje corto y confirma el cambio de estado con una respuesta breve, sin exigir sintaxis exacta ni pasos adicionales.</t>
  </si>
  <si>
    <t>El sistema reconoce correctamente ≥95% de las variantes coloquiales previstas (sinónimos y errores de tipeo comunes) en una sola interacción, sin requerir un segundo mensaje aclaratorio.</t>
  </si>
  <si>
    <t>COND-AUD-02</t>
  </si>
  <si>
    <t>El área de cumplimiento de una empresa cliente solicita revisar el historial de cambios de disponibilidad de un conductor ante una disputa sobre un servicio no atendido.</t>
  </si>
  <si>
    <t>Se ejecuta una consulta administrativa sobre el historial de cambios de estado de disponibilidad de un conductor específico en un rango de fechas.</t>
  </si>
  <si>
    <t>Producción, consulta ejecutada por un Administrador del operador desde el panel administrativo, fuera del flujo conversacional.</t>
  </si>
  <si>
    <t>Tabla ConductorEstadoHistorial, poblada automáticamente por el interceptor de EF Core AuditSaveChangesInterceptor en cada cambio de ConductorEstadoActual.</t>
  </si>
  <si>
    <t>El sistema conserva un registro inmutable de cada cambio de estado, incluyendo el valor anterior, el valor nuevo, el timestamp y el origen del cambio (WhatsApp o panel administrativo).</t>
  </si>
  <si>
    <t>100% de los cambios de estado de disponibilidad quedan registrados con timestamp con precisión de segundo, recuperables en una consulta de auditoría en ≤3 segundos.</t>
  </si>
  <si>
    <t>COND-INTEROP-02</t>
  </si>
  <si>
    <t>Durante el alta de un conductor nuevo, el Administrador del operador ingresa un número de licencia de conducción con un formato inválido o incompleto.</t>
  </si>
  <si>
    <t>Se envía el formulario de registro con el campo de número de licencia conteniendo caracteres o longitud que no corresponden al formato estándar nacional de licencia de conducción.</t>
  </si>
  <si>
    <t>Producción, proceso de alta ejecutado desde el panel administrativo web.</t>
  </si>
  <si>
    <t>Servicio LicenciaValidatorService, invocado por RegistrarConductorCommandHandler antes de persistir en Conductores.NumeroLicencia, que valida el formato mediante expresión regular y dígito verificador según el estándar de identificación nacional configurado.</t>
  </si>
  <si>
    <t>El sistema rechaza el registro con un mensaje indicando el formato esperado, sin persistir un número de licencia inválido.</t>
  </si>
  <si>
    <t>100% de los números de licencia con formato no conforme al estándar configurado son rechazados antes de la persistencia, con tiempo de validación ≤200 milisegundos.</t>
  </si>
  <si>
    <t>COND-PORT-02</t>
  </si>
  <si>
    <t>Un conductor cambia de teléfono celular (de un equipo Android de gama baja a uno de gama alta) y continúa reportando su disponibilidad sin reconfiguración adicional.</t>
  </si>
  <si>
    <t>El conductor envía el mensaje de cambio de estado desde un dispositivo distinto al habitual, con sistema operativo y versión de WhatsApp diferentes.</t>
  </si>
  <si>
    <t>Producción, sin control previo del sistema sobre el modelo, marca o versión de sistema operativo del dispositivo del conductor.</t>
  </si>
  <si>
    <t>Integración con el canal proveedor de WhatsApp Business WhatsApp Business API (número de negocio verificado), independiente de app nativa o SDK propietario de FlowRide.</t>
  </si>
  <si>
    <t>El sistema procesa el mensaje de disponibilidad de forma idéntica sin importar el dispositivo o versión de WhatsApp utilizada por el conductor.</t>
  </si>
  <si>
    <t>100% de los mensajes de disponibilidad se procesan correctamente independientemente del modelo de dispositivo, verificado en pruebas con al menos 5 combinaciones distintas de sistema operativo/versión de WhatsApp.</t>
  </si>
  <si>
    <t>COND-UX-02</t>
  </si>
  <si>
    <t>Un conductor nuevo, en su primera semana usando FlowRide, necesita reportar su disponibilidad sin haber recibido capacitación formal sobre comandos del bot.</t>
  </si>
  <si>
    <t>El conductor abre la conversación de WhatsApp con FlowRide para indicar que está listo para recibir servicios, sin recordar ningún comando específico.</t>
  </si>
  <si>
    <t>Producción, primer uso del flujo de disponibilidad por parte del conductor, sin soporte humano disponible en el momento.</t>
  </si>
  <si>
    <t>Flujo conversacional MenuDisponibilidadFlow del bot, que ofrece botones de respuesta rápida (WhatsApp Quick Reply) además de reconocimiento de palabras clave libres.</t>
  </si>
  <si>
    <t>El sistema guía al conductor con opciones visibles y de un solo toque, sin requerir memorizar comandos ni sintaxis previa.</t>
  </si>
  <si>
    <t>≥90% de los conductores nuevos completan el reporte de disponibilidad en su primer intento sin solicitar ayuda a un operador humano, medido en la primera semana de uso.</t>
  </si>
  <si>
    <t>COND-REND-03</t>
  </si>
  <si>
    <t>Un conductor tiene un itinerario recurrente configurado para recibir un recordatorio 30 minutos antes del servicio.</t>
  </si>
  <si>
    <t>El scheduler evalúa la tabla de itinerarios y determina que faltan exactamente 30 minutos para el próximo servicio programado del conductor.</t>
  </si>
  <si>
    <t>Producción, operación normal, sin incidentes activos en la cola de mensajería saliente.</t>
  </si>
  <si>
    <t>Job recurrente de Hangfire RecordatorioSchedulerJob, que invoca a NotificacionesService.EnviarRecordatorio() sobre la tabla Itinerarios.</t>
  </si>
  <si>
    <t>El sistema dispara el envío del recordatorio dentro de la ventana de antelación configurada por el conductor o la empresa.</t>
  </si>
  <si>
    <t>El recordatorio se envía con una desviación máxima de ±1 minuto respecto al tiempo de antelación configurado, en el 95% de los casos.</t>
  </si>
  <si>
    <t>COND-SEG-03</t>
  </si>
  <si>
    <t>Un conductor consulta por WhatsApp sus próximos servicios programados.</t>
  </si>
  <si>
    <t>Se ejecuta una consulta de itinerarios donde el conductorId del solicitante debe coincidir con el propietario de cada registro devuelto, dentro del mismo tenant.</t>
  </si>
  <si>
    <t>Producción, consulta ejecutada tanto desde el bot de WhatsApp como desde una eventual llamada directa a la API.</t>
  </si>
  <si>
    <t>Endpoint GET /api/v1/conductores/{id}/itinerarios y el manejador ItinerarioQueryHandler, con filtros globales de EF Core (global query filters) por ConductorId y EmpresaId.</t>
  </si>
  <si>
    <t>El sistema devuelve exclusivamente los itinerarios asignados al conductor autenticado, sin exponer información de otros conductores ni de otras empresas.</t>
  </si>
  <si>
    <t>0% de fugas de itinerarios ajenos en 100% de las pruebas de penetración funcional sobre el endpoint, con rechazo HTTP 403 en el 100% de los intentos de acceso cruzado.</t>
  </si>
  <si>
    <t>COND-CAP-03</t>
  </si>
  <si>
    <t>Al cierre de la jornada operativa, el sistema debe enviar recordatorios del turno siguiente a todos los conductores de una empresa con itinerarios activos.</t>
  </si>
  <si>
    <t>Se generan de forma simultánea hasta 400 recordatorios individuales que deben enviarse a través de la API de proveedor de WhatsApp Business en un intervalo corto.</t>
  </si>
  <si>
    <t>Producción, franja de generación masiva de recordatorios (fin de tarde), con límite de tasa (rate limit) impuesto por proveedor de WhatsApp Business para el número de negocio.</t>
  </si>
  <si>
    <t>Cola de mensajes salientes RabbitMQ (NotificacionesOutboundQueue), que desacopla la generación de recordatorios del envío efectivo mediante proveedor de WhatsApp BusinessMessagingClient.</t>
  </si>
  <si>
    <t>El sistema encola y despacha los recordatorios de forma controlada, respetando el límite de tasa de proveedor de WhatsApp Business sin descartar mensajes ni bloquear el proceso de generación.</t>
  </si>
  <si>
    <t>El sistema entrega 400 recordatorios en ≤5 minutos sin exceder el rate limit de proveedor de WhatsApp Business y con 0% de mensajes descartados por saturación de la cola.</t>
  </si>
  <si>
    <t>COND-ESC-03</t>
  </si>
  <si>
    <t>Los conductores con itinerarios recurrentes de las cada vez mas empresas que usan FlowRide</t>
  </si>
  <si>
    <t>Siguen recibiendo su recordatorio a tiempo aunque el numero de itinerarios activos se haya cuadruplicado en seis meses</t>
  </si>
  <si>
    <t>Producción, crecimiento progresivo de tenants y de itinerarios activos, con la infraestructura escalada horizontalmente según demanda.</t>
  </si>
  <si>
    <t>Tabla Itinerarios con índice compuesto (EmpresaId, ProximaEjecucion) y worker GeneradorRecordatoriosWorker, ejecutable en múltiples instancias con particionamiento por rango de horarios.</t>
  </si>
  <si>
    <t>El sistema mantiene el tiempo de detección y disparo de recordatorios estable al añadir instancias adicionales del worker conforme crece el volumen de itinerarios.</t>
  </si>
  <si>
    <t>El tiempo de detección de itinerarios próximos a vencer se mantiene en ≤30 segundos en el percentil 95 con hasta 10 veces el volumen actual de itinerarios activos, escalando el worker horizontalmente.</t>
  </si>
  <si>
    <t>COND-DISP-03</t>
  </si>
  <si>
    <t>Un conductor que espera el recordatorio de su proximo servicio</t>
  </si>
  <si>
    <t>No lo recibe de inmediato porque, justo en ese momento, el envio falla por una interrupcion momentanea de la API de proveedor de WhatsApp Business o de su propia conectividad (timeout o error 5xx)</t>
  </si>
  <si>
    <t>Producción, fallo transitorio externo (proveedor proveedor de WhatsApp Business), resto de la plataforma operando con normalidad.</t>
  </si>
  <si>
    <t>Política de reintento Polly RetryPolicy con backoff exponencial configurada sobre proveedor de WhatsApp BusinessMessagingClient.</t>
  </si>
  <si>
    <t>El sistema reintenta el envío del recordatorio de forma automática hasta lograr la entrega o agotar los reintentos configurados, sin requerir intervención manual.</t>
  </si>
  <si>
    <t>≥98% de los recordatorios con fallo transitorio se entregan exitosamente dentro de ≤3 reintentos y en un plazo total ≤2 minutos desde el primer intento fallido.</t>
  </si>
  <si>
    <t>COND-CONF-03</t>
  </si>
  <si>
    <t>Un conductor que ya recibio el recordatorio de un servicio</t>
  </si>
  <si>
    <t>No deberia recibir un segundo mensaje duplicado, aunque el job de generacion de recordatorios se ejecute mas de una vez sobre el mismo itinerario por un reinicio del worker o un solapamiento de ejecuciones</t>
  </si>
  <si>
    <t>Producción, condición de reinicio o solapamiento de instancias del worker de recordatorios.</t>
  </si>
  <si>
    <t>Restricción de unicidad UNIQUE (ItinerarioId, FechaServicio) sobre la tabla RecordatoriosEnviados, verificada por NotificacionesService.EnviarRecordatorio() antes de despachar el mensaje.</t>
  </si>
  <si>
    <t>El sistema detecta que el recordatorio ya fue enviado para ese itinerario y esa fecha, y omite el envío duplicado.</t>
  </si>
  <si>
    <t>0% de recordatorios duplicados entregados al conductor, verificado en pruebas de reintento con al menos 100 ejecuciones solapadas simuladas.</t>
  </si>
  <si>
    <t>COND-ACC-03</t>
  </si>
  <si>
    <t>Un conductor con conectividad de datos limitada y sin experiencia navegando enlaces web recibe el recordatorio de su próximo servicio.</t>
  </si>
  <si>
    <t>Se entrega un mensaje de recordatorio que debe ser comprensible por sí mismo, sin requerir abrir ningún enlace externo ni descargar contenido adicional.</t>
  </si>
  <si>
    <t>Producción, conductor en zona con cobertura de datos móviles limitada.</t>
  </si>
  <si>
    <t>Plantilla de mensaje aprobada de proveedor de WhatsApp Business WhatsApp Content Template 'recordatorio_servicio', compuesta enteramente por texto plano estructurado.</t>
  </si>
  <si>
    <t>El sistema entrega toda la información necesaria (hora, dirección de recogida y pasajero) directamente en el cuerpo del mensaje de WhatsApp, sin enlaces obligatorios.</t>
  </si>
  <si>
    <t>100% de los recordatorios enviados no contienen enlaces externos obligatorios para comprender el servicio, verificado por revisión de la plantilla aprobada en cada versión publicada.</t>
  </si>
  <si>
    <t>COND-AUD-03</t>
  </si>
  <si>
    <t>Un conductor reporta que no recibió el recordatorio de un servicio al que llegó tarde, y el área de operaciones necesita verificar qué ocurrió con el envío.</t>
  </si>
  <si>
    <t>Se ejecuta una consulta administrativa sobre el estado de entrega de un recordatorio específico enviado a un conductor.</t>
  </si>
  <si>
    <t>Producción, consulta ejecutada por un Operador logístico desde el panel administrativo tras un reclamo del conductor.</t>
  </si>
  <si>
    <t>Tabla NotificacionesLog, actualizada mediante el endpoint POST /api/v1/webhooks/twilio/status que recibe los status callbacks de proveedor de WhatsApp Business (queued/delivered/read/failed).</t>
  </si>
  <si>
    <t>El sistema conserva el historial completo del ciclo de vida de cada recordatorio enviado, permitiendo determinar si fue entregado, leído o si falló.</t>
  </si>
  <si>
    <t>100% de los recordatorios enviados tienen su estado de entrega final registrado en NotificacionesLog, recuperable en una consulta de auditoría en ≤3 segundos.</t>
  </si>
  <si>
    <t>COND-INTEROP-03</t>
  </si>
  <si>
    <t>Un conductor desea guardar el horario de sus servicios recurrentes en la aplicación de calendario nativa de su teléfono.</t>
  </si>
  <si>
    <t>El conductor solicita (o el sistema adjunta automáticamente) los datos del servicio en un formato que pueda importarse a una aplicación de calendario externa.</t>
  </si>
  <si>
    <t>Producción, conductor utilizando una aplicación de calendario estándar (Google Calendar, Apple Calendar u otra compatible con iCalendar).</t>
  </si>
  <si>
    <t>Servicio GeneradorEventoICalendarService, que genera un archivo .ics conforme al estándar iCalendar (RFC 5545) con los datos del itinerario.</t>
  </si>
  <si>
    <t>El sistema adjunta al recordatorio un archivo de evento de calendario que el conductor puede importar directamente sin transcribir datos manualmente.</t>
  </si>
  <si>
    <t>100% de los archivos .ics generados son válidos según el estándar RFC 5545 e importables sin errores en al menos 2 aplicaciones de calendario de referencia.</t>
  </si>
  <si>
    <t>COND-PORT-03</t>
  </si>
  <si>
    <t>Conductores de una misma empresa utilizan una variedad heterogénea de teléfonos, desde equipos de gama baja hasta gama alta.</t>
  </si>
  <si>
    <t>Se envía el mismo recordatorio de servicio a conductores con dispositivos de distinta gama, sistema operativo y versión de WhatsApp instalada.</t>
  </si>
  <si>
    <t>Producción, flota mixta de dispositivos sin estandarización impuesta por la empresa.</t>
  </si>
  <si>
    <t>Renderizado de la plantilla recordatorio_servicio a través de la proveedor de WhatsApp Business WhatsApp Business API en modo texto plano, sin componentes que dependan de capacidades avanzadas del dispositivo.</t>
  </si>
  <si>
    <t>El sistema entrega el recordatorio con el mismo contenido y legibilidad independientemente de la gama o modelo del teléfono del conductor.</t>
  </si>
  <si>
    <t>100% de los recordatorios se visualizan de forma completa y legible en pruebas realizadas sobre al menos 4 combinaciones distintas de gama de dispositivo y versión de WhatsApp.</t>
  </si>
  <si>
    <t>COND-UX-03</t>
  </si>
  <si>
    <t>Un conductor recibe el recordatorio de su próximo servicio mientras está en movimiento y necesita entenderlo sin detenerse a leer con detenimiento.</t>
  </si>
  <si>
    <t>Se entrega el mensaje de recordatorio y el conductor debe identificar de inmediato qué servicio es, a qué hora y dónde debe presentarse, sin contactar a un operador para aclarar dudas.</t>
  </si>
  <si>
    <t>Producción, conductor en contexto de movilidad, con atención limitada disponible para leer el mensaje.</t>
  </si>
  <si>
    <t>Estructura de la plantilla recordatorio_servicio, con campos fijos y ordenados (hora, dirección de recogida, nombre de pasajero, referencia corta del servicio).</t>
  </si>
  <si>
    <t>El sistema presenta la información esencial del servicio en un formato breve y consistente, legible de un vistazo.</t>
  </si>
  <si>
    <t>≥90% de los conductores encuestados identifican correctamente hora, lugar y pasajero del servicio en menos de 10 segundos de lectura, sin necesidad de contactar a un operador.</t>
  </si>
  <si>
    <t>PAS-REND-02</t>
  </si>
  <si>
    <t>Un pasajero que ya solicitó transporte escribe "¿cómo va mi solicitud?" por WhatsApp mientras espera en la recepción de su empresa.</t>
  </si>
  <si>
    <t>El mensaje de consulta de estado llega al adaptador de WhatsApp Business y debe resolverse contra el estado confirmado de la solicitud en curso.</t>
  </si>
  <si>
    <t>Horario pico; producción con otras solicitudes procesándose concurrentemente dentro del mismo tenant.</t>
  </si>
  <si>
    <t>Consulta de estado de solicitud contra la fuente de verdad transaccional.</t>
  </si>
  <si>
    <t>El sistema obtiene el estado vigente sin recalcular la asignación y responde al pasajero por WhatsApp.</t>
  </si>
  <si>
    <t>Consulta interna P95 &lt;300 ms y P99 &lt;1 s; respuesta end-to-end por WhatsApp P95 &lt;3 s cuando el proveedor externo opera normalmente.</t>
  </si>
  <si>
    <t>PAS-SEG-02</t>
  </si>
  <si>
    <t>Un pasajero malintencionado o por error de digitación intenta consultar o cancelar la solicitud de un compañero de trabajo, enviando el identificador de otra solicitud por WhatsApp.</t>
  </si>
  <si>
    <t>Se recibe una petición de consulta o cancelación (DELETE /api/v1/solicitudes/{id}) cuyo id de solicitud no pertenece al PasajeroId autenticado por el número de WhatsApp origen.</t>
  </si>
  <si>
    <t>Producción, cualquier horario, empresa multi-tenant con decenas de pasajeros activos simultáneamente bajo el mismo EmpresaId.</t>
  </si>
  <si>
    <t>Middleware de autorización de la API (.NET) que valida claims JWT (PasajeroId, EmpresaId) combinado con el filtro global de EF Core por EmpresaId sobre DbSet&lt;Solicitud&gt;.</t>
  </si>
  <si>
    <t>El sistema rechaza la operación con HTTP 403 y no expone ningún dato de la solicitud ajena; el bot responde al pasajero que no tiene una solicitud con ese identificador.</t>
  </si>
  <si>
    <t>100% de los intentos de acceso a solicitudes de otro PasajeroId son bloqueados en pruebas de penetración automatizadas, con 0 fugas de datos registradas en el log de auditoría.</t>
  </si>
  <si>
    <t>PAS-CAP-02</t>
  </si>
  <si>
    <t>Al cierre del mes, cientos de pasajeros de varias empresas cliente consultan simultáneamente su historial de viajes por WhatsApp para revisar sus registros.</t>
  </si>
  <si>
    <t>Se reciben ráfagas de solicitudes GET /api/v1/solicitudes/historial en una ventana de pocos minutos, cada una con filtros de fecha y estado.</t>
  </si>
  <si>
    <t>Producción, franja de alta concurrencia (fin de mes, 5:00-6:00 p.m.), pool de conexiones Npgsql compartido entre todos los tenants.</t>
  </si>
  <si>
    <t>Endpoint GET /api/v1/solicitudes/historial (capa API) respaldado por un pool de conexiones PostgreSQL configurado en Npgsql y, opcionalmente, una réplica de lectura.</t>
  </si>
  <si>
    <t>El sistema atiende las consultas concurrentes sin agotar el pool de conexiones ni degradar el tiempo de respuesta de otras operaciones (ej. creación de nuevas solicitudes).</t>
  </si>
  <si>
    <t>El sistema sostiene 500 consultas de historial concurrentes con tiempo de respuesta ≤4 segundos en el percentil 95 y sin errores de agotamiento de conexión (0 excepciones de pool).</t>
  </si>
  <si>
    <t>PAS-ESC-02</t>
  </si>
  <si>
    <t>Un pasajero con más de dos años de antigüedad en la plataforma solicita ver su historial completo de viajes filtrado por un rango de fechas amplio.</t>
  </si>
  <si>
    <t>La consulta de historial se ejecuta contra una tabla Solicitudes que ha acumulado varios millones de registros acumulados de miles de pasajeros a lo largo del tiempo.</t>
  </si>
  <si>
    <t>Producción, base de datos con crecimiento sostenido mensual, tabla Solicitudes sin particionar previamente evaluada tras 24 meses de operación.</t>
  </si>
  <si>
    <t>Tabla Solicitudes en PostgreSQL con índice compuesto (PasajeroId, FechaCreacion) y paginación por keyset (seek method) implementada en el repositorio EF Core.</t>
  </si>
  <si>
    <t>El sistema devuelve la página de resultados solicitada usando el índice compuesto, sin realizar un recorrido completo de la tabla (full table scan).</t>
  </si>
  <si>
    <t>El tiempo de respuesta de una consulta de historial paginada (20 registros) se mantiene ≤2 segundos en el percentil 95, incluso con más de 5 millones de registros históricos en la tabla.</t>
  </si>
  <si>
    <t>PAS-DISP-02</t>
  </si>
  <si>
    <t>Un pasajero consulta el estado de su solicitud justo en el momento en que el motor de asignación está procesando el pico de solicitudes de las 6:00 a.m. de toda la empresa.</t>
  </si>
  <si>
    <t>La consulta de estado llega mientras el módulo de asignación (proceso en segundo plano) está saturado calculando la asignación óptima de conductores para decenas de solicitudes.</t>
  </si>
  <si>
    <t>Producción, pico operativo matutino, cola de asignación (RabbitMQ) con backlog elevado de mensajes pendientes de procesar.</t>
  </si>
  <si>
    <t>Servicio de consulta de estado (ConsultaSolicitudService) desacoplado del motor de asignación mediante la cola de mensajería, leyendo únicamente el estado persistido en PostgreSQL.</t>
  </si>
  <si>
    <t>El servicio de consulta responde de forma independiente al estado del motor de asignación, ya que ambos módulos no comparten el mismo recurso crítico ni el mismo hilo de ejecución.</t>
  </si>
  <si>
    <t>Disponibilidad del endpoint de consulta de estado ≥99.5% medida mensualmente, incluso durante ventanas en que el motor de asignación reporta un backlog superior a 200 mensajes.</t>
  </si>
  <si>
    <t>PAS-CONF-02</t>
  </si>
  <si>
    <t>Un pasajero que consulta el estado de su solicitud por WhatsApp</t>
  </si>
  <si>
    <t>Pregunta justo en el instante en que un operador logistico esta reasignando manualmente su conductor (actualizacion concurrente de 'Pendiente' a 'Asignada')</t>
  </si>
  <si>
    <t>Produccion, operacion normal, con actualizaciones concurrentes entre el modulo de asignacion y el modulo de consulta sobre el mismo registro</t>
  </si>
  <si>
    <t>Tabla EstadoSolicitudHistorial y patrón outbox en la capa Infrastructure, que garantizan que EstadoSolicitud en la tabla Solicitudes es la única fuente de verdad consultada.</t>
  </si>
  <si>
    <t>El sistema le responde siempre con la ultima transaccion confirmada, evitando mostrarle un estado obsoleto o a medio actualizar</t>
  </si>
  <si>
    <t>0% de discrepancias entre el estado mostrado al pasajero y el estado real registrado en EstadoSolicitudHistorial, verificado en 10,000 consultas de auditoría automatizadas.</t>
  </si>
  <si>
    <t>PAS-ACC-02</t>
  </si>
  <si>
    <t>Un pasajero con baja alfabetización digital necesita cancelar una solicitud que ya no requiere, sin usar una aplicación móvil ni recordar comandos complejos.</t>
  </si>
  <si>
    <t>El pasajero envía por WhatsApp una única frase en lenguaje natural, por ejemplo "cancelar mi viaje" o "ya no lo necesito", sin conocer un identificador de solicitud.</t>
  </si>
  <si>
    <t>Producción, canal WhatsApp Business, pasajero interactuando desde un teléfono básico con conexión de datos intermitente.</t>
  </si>
  <si>
    <t>Webhook de proveedor de WhatsApp Business (IncomingMessageController) integrado con un parser de intención simple (reconocimiento de palabras clave de cancelación) en la capa Application.</t>
  </si>
  <si>
    <t>El sistema identifica automáticamente la solicitud activa del pasajero asociada a su número de WhatsApp y confirma la cancelación con una única respuesta, sin pedir un identificador.</t>
  </si>
  <si>
    <t>≥90% de los mensajes de cancelación expresados en lenguaje natural (muestra de 100 frases de prueba) son interpretados correctamente sin requerir una segunda interacción del pasajero.</t>
  </si>
  <si>
    <t>PAS-AUD-02</t>
  </si>
  <si>
    <t>Una solicitud se cancela desde un canal autorizado y posteriormente se requiere reconstruir quién la canceló, cuándo y por qué.</t>
  </si>
  <si>
    <t>Producción; consulta de auditoría realizada después del evento.</t>
  </si>
  <si>
    <t>CancelacionSolicitud + servicio de auditoría del tenant.</t>
  </si>
  <si>
    <t>Cada cancelación genera un registro trazable con solicitud, actor, motivo, timestamp y canal de origen.</t>
  </si>
  <si>
    <t>100% de las cancelaciones registradas con actor, motivo y timestamp; consulta de auditoría P95 &lt;5 s; información disponible conforme a la política de retención aplicable.</t>
  </si>
  <si>
    <t>PAS-INTEROP-02</t>
  </si>
  <si>
    <t>Un pasajero olvidó su teléfono y le pide a un colega que, desde el número de WhatsApp Business de este último, consulte el estado de su propia solicitud.</t>
  </si>
  <si>
    <t>Llega un mensaje al webhook de proveedor de WhatsApp Business desde un número de WhatsApp que no está registrado como el PasajeroId dueño de la solicitud consultada.</t>
  </si>
  <si>
    <t>Producción, canal WhatsApp Business compartido entre varios empleados de la misma empresa cliente.</t>
  </si>
  <si>
    <t>Módulo de verificación de identidad alterna (VerificacionIdentidadService) que solicita un código de confirmación (documento o PIN) cuando el número de origen no coincide con el registrado.</t>
  </si>
  <si>
    <t>El sistema no expone datos de la solicitud por el número no reconocido; en su lugar solicita un dato de verificación adicional antes de autorizar la consulta en nombre del pasajero real.</t>
  </si>
  <si>
    <t>100% de las consultas desde un número de WhatsApp no registrado exigen verificación adicional antes de mostrar datos, y ≤2 pasos de verificación son suficientes en el 95% de los casos de prueba.</t>
  </si>
  <si>
    <t>PAS-PORT-02</t>
  </si>
  <si>
    <t>Un pasajero viaja temporalmente al extranjero por motivos laborales y, conectado a una red móvil internacional, consulta el estado de su solicitud de transporte en su país de origen.</t>
  </si>
  <si>
    <t>El mensaje de WhatsApp llega a través de una red de datos internacional (roaming) con mayor latencia y posibilidad de reenvío duplicado por parte del operador móvil.</t>
  </si>
  <si>
    <t>Producción, pasajero con roaming internacional activo, latencia de red variable (200-1500 ms).</t>
  </si>
  <si>
    <t>Webhook de proveedor de WhatsApp Business (IncomingMessageController) diseñado de forma idempotente mediante el MessageSid de proveedor de WhatsApp Business como clave de deduplicación.</t>
  </si>
  <si>
    <t>El sistema procesa el mensaje una sola vez incluso si proveedor de WhatsApp Business reintenta la entrega por la latencia de roaming, y responde con el estado correcto independientemente del país de origen de la señal.</t>
  </si>
  <si>
    <t>0% de respuestas duplicadas o inconsistentes ante reintentos de proveedor de WhatsApp Business en un conjunto de prueba de 500 mensajes simulados con latencia de roaming de hasta 1500 ms.</t>
  </si>
  <si>
    <t>PAS-UX-02</t>
  </si>
  <si>
    <t>Un pasajero sin conocimientos técnicos consulta el estado de su solicitud y espera entender de inmediato qué significa, sin conocer los nombres internos de los estados del sistema.</t>
  </si>
  <si>
    <t>El sistema debe traducir el valor interno de EstadoSolicitud (ej. "Pendiente", "Asignada", "Cancelada") a un mensaje conversacional comprensible.</t>
  </si>
  <si>
    <t>Producción, canal WhatsApp, pasajeros de perfiles laborales diversos (operativos, administrativos) con distinto nivel de familiaridad tecnológica.</t>
  </si>
  <si>
    <t>Módulo de plantillas de mensajes (MensajeEstadoTemplateProvider, capa Application) que mapea cada EstadoSolicitud a un texto en lenguaje simple con datos contextuales (hora, conductor si aplica).</t>
  </si>
  <si>
    <t>El bot responde con una frase completa en español coloquial (ej. "Tu transporte ya tiene conductor asignado y llega a las 7:15 a.m.") en lugar del valor técnico del enum.</t>
  </si>
  <si>
    <t>≥95% de una muestra de 50 pasajeros encuestados reporta comprender el estado de su solicitud sin necesitar una pregunta de aclaración adicional.</t>
  </si>
  <si>
    <t>PAS-REND-03</t>
  </si>
  <si>
    <t>Un operador logístico reemplaza al conductor asignado a un pasajero pocos minutos antes de la hora de recogida por una eventualidad del conductor original.</t>
  </si>
  <si>
    <t>Se dispara el evento de dominio ReasignacionConductorEvent al confirmarse el cambio de conductor en la solicitud del pasajero.</t>
  </si>
  <si>
    <t>Producción, franja de alta demanda (hora pico), integración activa con la API de mensajería de proveedor de WhatsApp Business.</t>
  </si>
  <si>
    <t>Manejador de eventos NotificacionReasignacionHandler (capa Application) que invoca la proveedor de WhatsApp Business Messages API para el envío de la notificación push por WhatsApp.</t>
  </si>
  <si>
    <t>El sistema publica el evento, arma el mensaje de notificación con los datos del nuevo conductor y lo envía a través de proveedor de WhatsApp Business sin intervención manual.</t>
  </si>
  <si>
    <t>El pasajero recibe la notificación de cambio de conductor en ≤10 segundos desde la confirmación de la reasignación, medido en el percentil 95 de 1,000 eventos de prueba.</t>
  </si>
  <si>
    <t>PAS-SEG-03</t>
  </si>
  <si>
    <t>Un error de configuración o un ataque de suplantación intenta hacer que un pasajero reciba notificaciones sobre el servicio de transporte de otro pasajero de una empresa distinta.</t>
  </si>
  <si>
    <t>El publicador de notificaciones procesa un lote de eventos de cambio de estado provenientes de múltiples solicitudes de distintos tenants en simultáneo.</t>
  </si>
  <si>
    <t>Producción, plataforma multi-tenant con varias empresas cliente operando en el mismo intervalo horario.</t>
  </si>
  <si>
    <t>Componente NotificationPublisher (capa Application) que filtra el destinatario final por PasajeroId y EmpresaId antes de encolar el envío en el servicio de mensajería.</t>
  </si>
  <si>
    <t>El sistema valida que el número de WhatsApp destino corresponda exactamente al PasajeroId y EmpresaId asociados al evento antes de encolar el mensaje, descartando cualquier discrepancia.</t>
  </si>
  <si>
    <t>100% de los eventos de notificación son verificados contra el PasajeroId/EmpresaId de destino antes del envío, con 0 casos de entrega cruzada entre pasajeros en pruebas de carga con 10 tenants simulados.</t>
  </si>
  <si>
    <t>PAS-CAP-03</t>
  </si>
  <si>
    <t>Todos los pasajeros del turno de las 6:00 a.m. de una empresa grande deben recibir su recordatorio de recogida con la misma antelación configurada, sin que unos lleguen mucho antes que otros.</t>
  </si>
  <si>
    <t>El planificador de recordatorios dispara simultáneamente el envío de notificaciones para decenas de solicitudes programadas para el mismo horario de turno.</t>
  </si>
  <si>
    <t>Producción, empresa cliente con turno masivo (ej. 150 pasajeros con el mismo horario de recogida), franja de alta concurrencia de envíos.</t>
  </si>
  <si>
    <t>Cola de trabajos en segundo plano (worker de notificaciones basado en Hangfire) que procesa el envío masivo de recordatorios de forma asíncrona y paralelizada.</t>
  </si>
  <si>
    <t>El sistema encola todos los recordatorios del turno de forma simultánea y los procesa en paralelo mediante múltiples workers, evitando que el procesamiento secuencial retrase a los últimos pasajeros de la cola.</t>
  </si>
  <si>
    <t>El 100% de los recordatorios de un turno de 150 pasajeros se entregan dentro de una ventana de ≤60 segundos entre el primero y el último mensaje enviado.</t>
  </si>
  <si>
    <t>PAS-ESC-03</t>
  </si>
  <si>
    <t>Los pasajeros de las cada vez mas empresas que se suman a FlowRide</t>
  </si>
  <si>
    <t>Siguen recibiendo sus recordatorios y notificaciones a tiempo aunque el total de pasajeros activos se haya duplicado respecto al lanzamiento inicial</t>
  </si>
  <si>
    <t>Producción, crecimiento proyectado de la base de usuarios a 12 meses, infraestructura desplegada en contenedores orquestados.</t>
  </si>
  <si>
    <t>Worker de notificaciones (servicio independiente en Kubernetes) configurado con autoescalado horizontal (Horizontal Pod Autoscaler) según la profundidad de la cola de mensajes.</t>
  </si>
  <si>
    <t>El sistema añade instancias adicionales del worker de notificaciones de forma automática cuando la cola de recordatorios pendientes supera un umbral definido.</t>
  </si>
  <si>
    <t>El tiempo promedio de entrega de recordatorios se mantiene ≤15 segundos incluso cuando la base de pasajeros activos crece de 5,000 a 10,000, sin degradación mayor al 10%.</t>
  </si>
  <si>
    <t>PAS-DISP-03</t>
  </si>
  <si>
    <t>Un pasajero con un viaje programado que espera su recordatorio de recogida</t>
  </si>
  <si>
    <t>El envío del recordatorio falla por una interrupción transitoria o timeout de la API oficial/proveedor de WhatsApp Business.</t>
  </si>
  <si>
    <t>Producción; degradación parcial del canal externo durante hasta 5 minutos.</t>
  </si>
  <si>
    <t>Política de reintento con backoff y cola de mensajes pendientes.</t>
  </si>
  <si>
    <t>El sistema reintenta automáticamente y, si el fallo persiste, conserva el mensaje para entrega prioritaria al restablecerse el canal.</t>
  </si>
  <si>
    <t>≥99% de los recordatorios afectados por una interrupción de hasta 5 minutos se entregan dentro de los 2 minutos posteriores al restablecimiento, sin duplicados visibles.</t>
  </si>
  <si>
    <t>PAS-CONF-03</t>
  </si>
  <si>
    <t>Un pasajero cancela su solicitud de transporte pocos minutos antes de la hora en que tenía programado un recordatorio automático de recogida.</t>
  </si>
  <si>
    <t>El job programado de recordatorio (RF-37) está a punto de ejecutarse para una solicitud que, entre su programación y su disparo, cambió a estado Cancelada.</t>
  </si>
  <si>
    <t>Producción, operación normal, recordatorios programados con antelación configurable de 15 a 60 minutos antes del servicio.</t>
  </si>
  <si>
    <t>Job programado RecordatorioSolicitudJob (Hangfire scheduled job, capa Infrastructure) que valida el EstadoSolicitud vigente antes de ejecutar el envío.</t>
  </si>
  <si>
    <t>El job verifica el estado actual de la solicitud inmediatamente antes de enviar y, si detecta que fue cancelada, aborta el envío y no genera la notificación.</t>
  </si>
  <si>
    <t>0% de recordatorios enviados para solicitudes en estado Cancelada, verificado en 5,000 ejecuciones de job simuladas con cancelaciones concurrentes.</t>
  </si>
  <si>
    <t>PAS-ACC-03</t>
  </si>
  <si>
    <t>Un pasajero con poco tiempo disponible en la mañana necesita captar de un vistazo la información esencial de su recordatorio de recogida sin leer un mensaje extenso.</t>
  </si>
  <si>
    <t>Se genera el contenido del recordatorio automático (RF-37) que debe enviarse por WhatsApp antes de la hora programada de recogida.</t>
  </si>
  <si>
    <t>Producción, canal WhatsApp, pasajeros consultando el mensaje frecuentemente en movimiento o con poco tiempo de lectura disponible.</t>
  </si>
  <si>
    <t>Plantilla de mensaje aprobada en proveedor de WhatsApp Business Content API (RecordatorioTemplate) con estructura fija y límite de longitud.</t>
  </si>
  <si>
    <t>El sistema genera el recordatorio usando una plantilla corta y estandarizada (hora, punto de recogida, conductor) en lugar de un párrafo narrativo libre.</t>
  </si>
  <si>
    <t>El mensaje de recordatorio no supera 200 caracteres en el 100% de los envíos, y ≥90% de una muestra de pasajeros encuestados lo califica como "fácil de leer rápido" en una escala validada.</t>
  </si>
  <si>
    <t>Un pasajero afirma no haber recibido el recordatorio de su viaje y por ello llegó tarde al punto de recogida; el administrador de la empresa cliente necesita verificar si el mensaje fue efectivamente entregado.</t>
  </si>
  <si>
    <t>Se solicita, desde el panel de soporte, el estado de entrega de una notificación específica enviada previamente al pasajero.</t>
  </si>
  <si>
    <t>Producción, consulta de soporte realizada horas o días después del envío original.</t>
  </si>
  <si>
    <t>Tabla NotificacionesLog (capa Infrastructure) actualizada mediante el webhook de Status Callback de proveedor de WhatsApp Business (StatusCallbackController).</t>
  </si>
  <si>
    <t>El sistema registra cada transición de estado del mensaje reportada por proveedor de WhatsApp Business (enviado, entregado, leído, fallido) asociada al MessageSid y la muestra en el panel de auditoría.</t>
  </si>
  <si>
    <t>100% de las notificaciones enviadas cuentan con un registro de estado de entrega verificable en NotificacionesLog, con actualización del estado final de proveedor de WhatsApp Business en ≤5 minutos desde el evento reportado por el proveedor.</t>
  </si>
  <si>
    <t>PAS-INTEROP-03</t>
  </si>
  <si>
    <t>Un pasajero recibe el recordatorio de su recogida y decide reenviarlo por WhatsApp a un familiar que pasará a recogerlo en el punto de encuentro.</t>
  </si>
  <si>
    <t>El pasajero usa la función nativa de reenvío de WhatsApp sobre el mensaje de recordatorio recibido del número de FlowRide.</t>
  </si>
  <si>
    <t>Producción, canal WhatsApp Business, reenvío realizado entre contactos fuera del control directo de la plataforma.</t>
  </si>
  <si>
    <t>Plantilla de mensaje estructurado (WhatsApp Template Message vía proveedor de WhatsApp Business Content API) usada para el envío del recordatorio, en lugar de texto plano con formato dependiente del cliente.</t>
  </si>
  <si>
    <t>El recordatorio se compone con formato estándar de plantilla de WhatsApp (texto y variables ya resueltas) que se preserva íntegro al ser reenviado por el pasajero a un tercero.</t>
  </si>
  <si>
    <t>100% de una muestra de 30 recordatorios reenviados manualmente conservan el texto y los datos (hora, punto de recogida) sin pérdida de formato ni truncamiento.</t>
  </si>
  <si>
    <t>PAS-PORT-03</t>
  </si>
  <si>
    <t>Un pasajero cambia de equipo celular (por pérdida, daño o actualización de modelo) pero conserva su mismo número de teléfono registrado en la empresa cliente.</t>
  </si>
  <si>
    <t>Se dispara un recordatorio automático (RF-37) para la solicitud activa del pasajero después del cambio de dispositivo.</t>
  </si>
  <si>
    <t>Producción, pasajero con nuevo dispositivo pero mismo número de WhatsApp, sin necesidad de reinstalación de una app propietaria de FlowRide.</t>
  </si>
  <si>
    <t>Identificador de destinatario basado en NumeroTelefono (E.164) en la tabla Pasajeros, usado como clave para el envío vía proveedor de WhatsApp Business en lugar de un token de dispositivo o push token.</t>
  </si>
  <si>
    <t>El sistema entrega el recordatorio al mismo número de teléfono registrado, sin requerir reconfiguración ni reautenticación del pasajero tras el cambio de equipo.</t>
  </si>
  <si>
    <t>100% de los recordatorios se entregan correctamente al número registrado tras un cambio de dispositivo, verificado en 50 casos de prueba de cambio de equipo con el mismo número.</t>
  </si>
  <si>
    <t>PAS-UX-03</t>
  </si>
  <si>
    <t>Un pasajero recibe una notificación de reasignación de conductor y necesita saber de inmediato si debe hacer algo (ej. confirmar) o simplemente esperar, sin escribir de vuelta para preguntar.</t>
  </si>
  <si>
    <t>Se envía una notificación de reasignación o novedad del servicio (RF-47) que puede requerir o no una acción del pasajero.</t>
  </si>
  <si>
    <t>Producción, canal WhatsApp, pasajeros con distinto nivel de familiaridad con la plataforma.</t>
  </si>
  <si>
    <t>Componente de mensajería interactiva (WhatsApp Quick Reply / List Message vía proveedor de WhatsApp Business Content API) integrado en NotificacionReasignacionHandler.</t>
  </si>
  <si>
    <t>El mensaje incluye explícitamente la acción esperada (ej. botones "Confirmar" / "Necesito ayuda") o indica claramente que no se requiere ninguna acción, sin dejarlo implícito.</t>
  </si>
  <si>
    <t>≤5% de las notificaciones de reasignación generan una pregunta de aclaración de vuelta del pasajero, medido sobre una muestra de 200 notificaciones enviadas en producción.</t>
  </si>
  <si>
    <t>OPLOG-REND-02</t>
  </si>
  <si>
    <t>Un conductor reporta el cambio de estado 'en camino' a 'en sitio' desde la app móvil mientras el Operador logístico tiene abierto el mapa de servicios activos en el Panel Web Administrativo.</t>
  </si>
  <si>
    <t>El evento de cambio de estado del servicio llega al backend y debe reflejarse en el mapa que el operador está observando en ese momento, sin que este tenga que refrescar la página manualmente.</t>
  </si>
  <si>
    <t>Horario pico de operación (7:00-9:00 a.m.), con aproximadamente 150 servicios activos simultáneos y el sistema en producción con carga concurrente normal.</t>
  </si>
  <si>
    <t>Hub de comunicación en tiempo real ServiciosActivosHub (SignalR) expuesto por la capa API sobre el módulo de Monitoreo Operativo.</t>
  </si>
  <si>
    <t>El backend publica el cambio de estado a través del hub y el cliente web actualiza la posición y el estado del servicio en el mapa sin recarga completa de la vista.</t>
  </si>
  <si>
    <t>El 95% de las actualizaciones de estado se reflejan en el mapa del operador en ≤3 segundos desde que el evento se registra en el backend.</t>
  </si>
  <si>
    <t>OPLOG-SEG-02</t>
  </si>
  <si>
    <t>Operador logístico autenticado en el tenant A</t>
  </si>
  <si>
    <t>Manipula una petición o identificador intentando consultar servicios pertenecientes al tenant B.</t>
  </si>
  <si>
    <t>Producción; plataforma con múltiples operadores aprovisionados mediante Silo.</t>
  </si>
  <si>
    <t>Resolución de tenant; autorización; conexión a persistencia Silo.</t>
  </si>
  <si>
    <t>El sistema mantiene la sesión ligada únicamente al Silo del tenant A y rechaza cualquier referencia que intente cruzar el límite físico del operador.</t>
  </si>
  <si>
    <t>0 lecturas o escrituras cross-tenant en pruebas automatizadas y de penetración; 100% de intentos cruzados rechazados.</t>
  </si>
  <si>
    <t>OPLOG-CAP-02</t>
  </si>
  <si>
    <t>El equipo de operaciones de una empresa cliente con flota grande tiene a varios operadores logísticos monitoreando simultáneamente el mismo panel durante un evento corporativo masivo.</t>
  </si>
  <si>
    <t>El número de servicios activos en curso alcanza varios cientos en un mismo intervalo, todos visibles en el mapa y el listado del panel de monitoreo.</t>
  </si>
  <si>
    <t>Producción, evento corporativo de alta demanda con hasta 500 servicios activos concurrentes en una sola empresa.</t>
  </si>
  <si>
    <t>Repositorio ServicioActivoRepository (capa Infrastructure) con consulta paginada e indexada sobre la tabla Servicios por EmpresaId y Estado.</t>
  </si>
  <si>
    <t>El sistema carga y mantiene la vista de servicios activos aplicando paginación y clustering de marcadores en el mapa para evitar degradación visual y de consulta.</t>
  </si>
  <si>
    <t>El panel soporta hasta 500 servicios activos concurrentes con tiempo de carga inicial ≤4 segundos y sin errores de consulta.</t>
  </si>
  <si>
    <t>OPLOG-ESC-02</t>
  </si>
  <si>
    <t>Un Operador logístico de 'Corporativo Logistico SA', empresa que duplico su volumen de operacion diaria tras firmar un nuevo contrato con otra sede</t>
  </si>
  <si>
    <t>Sigue monitoreando el panel con normalidad aunque el volumen de servicios diarios haya pasado de aproximadamente 300 a 600, con mas eventos de estado llegando al panel</t>
  </si>
  <si>
    <t>Producción, transición gradual de volumen de operación durante un periodo de 3 meses, sin cambios en la infraestructura contratada por la empresa.</t>
  </si>
  <si>
    <t>Cola de mensajería (Azure Service Bus) que desacopla la publicación de eventos de estado de servicio del procesamiento por parte de ServiciosActivosHub.</t>
  </si>
  <si>
    <t>La arquitectura de mensajería absorbe el incremento de eventos sin bloquear el hilo de publicación hacia el panel, manteniendo el flujo de actualizaciones al operador.</t>
  </si>
  <si>
    <t>Al duplicar el volumen diario de servicios, el tiempo de actualización del panel se degrada como máximo un 10% respecto de la línea base medida en OPLOG-REND-02.</t>
  </si>
  <si>
    <t>OPLOG-DISP-02</t>
  </si>
  <si>
    <t>Un Operador logístico cuyo navegador tiene el componente de mapa renderizando con lentitud por una sobrecarga temporal</t>
  </si>
  <si>
    <t>En ese mismo instante necesita enterarse de que una solicitud de servicio quedo sin conductor asignado por mas de 10 minutos (alerta operativa critica)</t>
  </si>
  <si>
    <t>Produccion, horario de operacion regular, con el frontend del operador bajo carga de renderizado elevada pero con conectividad de red estable</t>
  </si>
  <si>
    <t>Servicio de notificaciones AlertaNotificationService (capa Application), desacoplado del componente de renderizado del mapa y con canal de entrega independiente (WebSocket dedicado a alertas).</t>
  </si>
  <si>
    <t>El sistema le entrega la alerta operativa por el canal de notificaciones (WebSocket dedicado) aunque el mapa este momentaneamente lento, para que pueda actuar sin depender de que el mapa cargue</t>
  </si>
  <si>
    <t>99.5% de las alertas operativas se entregan al panel del operador dentro de los 30 segundos posteriores a su generación, medido mensualmente, independientemente del estado de renderizado del mapa.</t>
  </si>
  <si>
    <t>OPLOG-CONF-02</t>
  </si>
  <si>
    <t>Un conductor con el servicio asignado no confirma la recepción de la solicitud dentro del tiempo esperado por el sistema.</t>
  </si>
  <si>
    <t>El sistema evalúa si corresponde generar una alerta de 'conductor sin respuesta' considerando posibles causas transitorias (pérdida de señal breve, demora normal de la app móvil).</t>
  </si>
  <si>
    <t>Producción, condiciones normales de cobertura móvil variable propias de zonas urbanas y periurbanas donde opera la flota.</t>
  </si>
  <si>
    <t>Servicio en segundo plano ConductorResponseMonitor (Hosted Service en la capa Application) con lógica de reintento y ventana de tolerancia antes de emitir la alerta.</t>
  </si>
  <si>
    <t>El sistema aplica una ventana de tolerancia con reintento de verificación antes de escalar el evento a alerta, evitando marcar como 'sin respuesta' a conductores con demoras normales.</t>
  </si>
  <si>
    <t>La tasa de falsos positivos de la alerta 'conductor sin respuesta' es ≤2% mensual, verificado contra revisión manual de una muestra de alertas generadas.</t>
  </si>
  <si>
    <t>OPLOG-ACC-02</t>
  </si>
  <si>
    <t>Un Operador Logistico con baja visión de colores (daltonismo) supervisa el panel de monitoreo durante su turno.</t>
  </si>
  <si>
    <t>Se generan simultáneamente varias alertas de distinta severidad (incidente reportado, solicitud sin asignar, conductor sin respuesta) que el operador debe distinguir rápidamente.</t>
  </si>
  <si>
    <t>Producción, uso continuo del panel durante un turno de 8 horas en una estación de trabajo estándar.</t>
  </si>
  <si>
    <t>Componente de interfaz AlertBadge del módulo de Monitoreo Operativo en el frontend, que combina color, ícono y forma para cada nivel de severidad.</t>
  </si>
  <si>
    <t>El componente representa cada nivel de alerta con una combinación redundante de color, ícono distintivo y forma, no solo color, siguiendo pautas de accesibilidad.</t>
  </si>
  <si>
    <t>100% de las alertas críticas se presentan con contraste de color ≥4.5:1 (WCAG 2.1 AA) y con ícono/forma redundante al color, verificado en auditoría de accesibilidad.</t>
  </si>
  <si>
    <t>OPLOG-AUD-02</t>
  </si>
  <si>
    <t>Interviene manualmente un servicio en curso para pausar, cancelar o reasignar y registra el motivo.</t>
  </si>
  <si>
    <t>Producción; servicio activo.</t>
  </si>
  <si>
    <t>Servicio de intervención + auditoría del tenant.</t>
  </si>
  <si>
    <t>El sistema exige motivo y registra actor, acción, servicio afectado y timestamp.</t>
  </si>
  <si>
    <t>100% de intervenciones manuales sensibles registradas; consulta de auditoría P95 &lt;5 s.</t>
  </si>
  <si>
    <t>OPLOG-INTEROP-02</t>
  </si>
  <si>
    <t>Se genera una alerta operativa crítica (incidente reportado por un conductor) fuera del horario en que el Operador logístico suele tener el panel abierto en pantalla.</t>
  </si>
  <si>
    <t>El sistema debe notificar la alerta crítica no solo dentro del panel, sino también a través de un canal externo para asegurar que llegue al operador de guardia.</t>
  </si>
  <si>
    <t>Producción, turno nocturno con menor cantidad de operadores conectados activamente al panel web.</t>
  </si>
  <si>
    <t>Componente de integración NotificationDispatcher (capa Infrastructure) que consume un proveedor SMTP externo para el reenvío de alertas críticas por correo electrónico.</t>
  </si>
  <si>
    <t>El sistema reenvía automáticamente toda alerta clasificada como crítica al correo electrónico registrado del operador de guardia, además de mostrarla en el panel.</t>
  </si>
  <si>
    <t>≥99% de las alertas críticas generadas se reenvían por correo electrónico dentro de los 60 segundos posteriores a su creación.</t>
  </si>
  <si>
    <t>OPLOG-PORT-02</t>
  </si>
  <si>
    <t>Un Operador logístico realiza una ronda de supervisión desde una tablet corporativa mientras camina por el patio de vehículos, y en otro momento usa un segundo monitor en su estación de trabajo.</t>
  </si>
  <si>
    <t>El operador abre el módulo de monitoreo en tiempo real en un dispositivo y resolución distintos a los de su estación habitual.</t>
  </si>
  <si>
    <t>Producción, acceso desde tablet de 10 pulgadas (orientación horizontal) y desde monitor secundario de escritorio, ambos con el mismo navegador soportado.</t>
  </si>
  <si>
    <t>Diseño responsivo del módulo MonitoreoOperativo en el frontend (layout basado en CSS Grid con breakpoints), servido por la misma API sin variantes de backend.</t>
  </si>
  <si>
    <t>El panel reorganiza mapa, listado de servicios y panel de alertas según el tamaño de pantalla disponible, sin ocultar funcionalidad crítica de monitoreo o intervención.</t>
  </si>
  <si>
    <t>100% de las funciones críticas de monitoreo (ver mapa, ver alertas, intervenir servicio) permanecen operativas en resoluciones desde 768px hasta 2560px de ancho, verificado en pruebas cross-device.</t>
  </si>
  <si>
    <t>OPLOG-UX-02</t>
  </si>
  <si>
    <t>Operador Logistico</t>
  </si>
  <si>
    <t>Un Operador Logistico nuevo en el rol revisa el panel de monitoreo por primera vez durante un turno con actividad normal.</t>
  </si>
  <si>
    <t>El panel muestra simultáneamente servicios que avanzan sin problema y servicios que requieren atención inmediata (alertas activas), y el operador debe priorizar dónde actuar primero.</t>
  </si>
  <si>
    <t>Producción, turno con mezcla habitual de servicios normales y 2-3 alertas activas simultáneas.</t>
  </si>
  <si>
    <t>Vista de tablero con semaforización de estado (componente EstadoServicioIndicador) dentro del módulo de Monitoreo Operativo del frontend.</t>
  </si>
  <si>
    <t>El panel agrupa visualmente los servicios por nivel de atención requerida (normal, atención, crítico) usando jerarquía visual clara en la parte superior del tablero.</t>
  </si>
  <si>
    <t>En pruebas de usabilidad, ≥90% de los operadores identifican correctamente el servicio que requiere atención inmediata en ≤5 segundos de exposición al panel.</t>
  </si>
  <si>
    <t>OPLOG-REND-03</t>
  </si>
  <si>
    <t>Un Operador logístico necesita revisar los indicadores básicos del día antes de la reunión de cierre de turno con el Administrador de la empresa.</t>
  </si>
  <si>
    <t>El operador solicita desde el panel la generación del reporte de KPIs del día en curso (tiempo promedio de asignación, tasa de cancelación, ocupación de conductores).</t>
  </si>
  <si>
    <t>Producción, solicitud realizada al final del turno vespertino con el día operativo prácticamente completo (~200 servicios registrados).</t>
  </si>
  <si>
    <t>Endpoint GET /api/v1/reportes/kpis-diarios de la capa API, respaldado por una vista agregada precomputada en la capa Infrastructure.</t>
  </si>
  <si>
    <t>El sistema calcula y devuelve los KPIs del día consultando la vista agregada en lugar de recorrer los registros crudos de servicios en tiempo de solicitud.</t>
  </si>
  <si>
    <t>El reporte de KPIs del día se genera y muestra en ≤5 segundos en el percentil 95 de las solicitudes.</t>
  </si>
  <si>
    <t>OPLOG-SEG-03</t>
  </si>
  <si>
    <t>Un Operador logístico de la empresa 'Rutas del Norte' consulta el módulo de KPIs operativos por tenant.</t>
  </si>
  <si>
    <t>El operador solicita los indicadores agregados de ocupación de conductores y tasa de cancelación para su empresa en el mes en curso.</t>
  </si>
  <si>
    <t>Producción, entorno multi-tenant con múltiples empresas generando reportes en paralelo durante el mismo cierre de mes.</t>
  </si>
  <si>
    <t>Servicio KpiAggregationService (capa Application), que aplica el filtro de EmpresaId antes de ejecutar cualquier agregación sobre la capa de datos.</t>
  </si>
  <si>
    <t>El servicio de agregación calcula los KPIs exclusivamente sobre los registros pertenecientes al EmpresaId del operador autenticado, sin mezclar datos de otros tenants.</t>
  </si>
  <si>
    <t>100% de las consultas de KPI validadas en pruebas automatizadas de aislamiento multi-tenant no exponen ni agregan datos de otra empresa.</t>
  </si>
  <si>
    <t>OPLOG-CAP-03</t>
  </si>
  <si>
    <t>Un Operador logístico de una empresa cliente con mas de un ano de antiguedad en la plataforma</t>
  </si>
  <si>
    <t>Solicita un reporte de KPIs mensuales comparando el mes actual contra el mismo mes del ano anterior, y espera obtenerlo en un tiempo razonable aunque deba recorrer un historico operativo que supera los 12 meses de datos</t>
  </si>
  <si>
    <t>Producción, empresa con historial de aproximadamente 500,000 registros de servicios acumulados en más de 12 meses.</t>
  </si>
  <si>
    <t>Tabla de hechos particionada HistoricoServicios (particionada por mes) con índices por EmpresaId y FechaServicio en la capa Infrastructure.</t>
  </si>
  <si>
    <t>El motor de consulta aprovecha el particionamiento por fecha para limitar el escaneo a las particiones relevantes del periodo solicitado.</t>
  </si>
  <si>
    <t>Con un histórico de 12 o más meses (~500,000 registros), el cálculo de un KPI mensual se completa en ≤8 segundos.</t>
  </si>
  <si>
    <t>OPLOG-ESC-03</t>
  </si>
  <si>
    <t>Un Operador logístico de 'Movilidad Corporativa SAS', empresa que duplico su volumen mensual de servicios tras incorporar dos nuevas sedes</t>
  </si>
  <si>
    <t>Sigue generando su reporte mensual con normalidad aunque el volumen de servicios a agregar haya pasado de aproximadamente 1.000 a 2.000 por mes</t>
  </si>
  <si>
    <t>Producción, transición de volumen distribuida a lo largo de 2 meses, sin cambio de plan de infraestructura contratado.</t>
  </si>
  <si>
    <t>Job programado KpiSnapshotJob (Hosted Service en Application) que precalcula y almacena snapshots diarios de KPIs por empresa.</t>
  </si>
  <si>
    <t>El job de precálculo absorbe el incremento de volumen distribuyendo el cómputo en ventanas nocturnas, evitando que el crecimiento afecte el tiempo de consulta del reporte.</t>
  </si>
  <si>
    <t>Al duplicar el volumen mensual de servicios, el tiempo de generación del reporte mensual de KPIs se mantiene ≤10 segundos, con degradación ≤15% respecto de la línea base.</t>
  </si>
  <si>
    <t>OPLOG-DISP-03</t>
  </si>
  <si>
    <t>El equipo de infraestructura ejecuta una ventana de mantenimiento programado sobre el módulo de reportes avanzados y estadísticas de uso de la plataforma.</t>
  </si>
  <si>
    <t>Durante la ventana de mantenimiento, un Operador logístico necesita consultar los indicadores básicos del día para su reporte de cierre de turno.</t>
  </si>
  <si>
    <t>Producción, ventana de mantenimiento nocturna programada de hasta 4 horas, con el módulo de reportes avanzados fuera de servicio.</t>
  </si>
  <si>
    <t>Endpoint GET /api/v1/reportes/indicadores-basicos, desplegado como módulo independiente del módulo ReportesAvanzados dentro de la capa API.</t>
  </si>
  <si>
    <t>El sistema mantiene disponible el cálculo de indicadores básicos del día (RF-44) de forma independiente al estado del módulo de reportes avanzados y estadísticas de uso.</t>
  </si>
  <si>
    <t>La disponibilidad del módulo de indicadores básicos es ≥99.5% mensual, incluyendo hasta 4 horas/mes de mantenimiento del módulo de reportes avanzados.</t>
  </si>
  <si>
    <t>OPLOG-CONF-03</t>
  </si>
  <si>
    <t>Un Administrador del operador cuestiona una discrepancia entre la tasa de cancelación mostrada en el dashboard de KPIs y el conteo manual que realizó sobre el listado de servicios cancelados.</t>
  </si>
  <si>
    <t>Se ejecuta el proceso de verificación periódico que compara los KPIs agregados contra los datos operativos crudos de la misma fecha.</t>
  </si>
  <si>
    <t>Producción, verificación ejecutada automáticamente cada noche sobre los datos del día anterior ya cerrado.</t>
  </si>
  <si>
    <t>Job de reconciliación KpiReconciliationJob (capa Application) que compara los valores agregados contra la tabla Servicios sin procesar.</t>
  </si>
  <si>
    <t>El job recalcula cada KPI directamente desde los datos crudos y compara el resultado contra el valor agregado almacenado, generando una alerta interna si hay desviación.</t>
  </si>
  <si>
    <t>La discrepancia entre el KPI reportado y el recálculo desde datos crudos es ≤0.1% en el 100% de las reconciliaciones automáticas diarias.</t>
  </si>
  <si>
    <t>OPLOG-ACC-03</t>
  </si>
  <si>
    <t>Un Operador logístico necesita ubicar todos los servicios de un conductor específico durante la última semana para verificar un patrón de retrasos reportado por varios pasajeros.</t>
  </si>
  <si>
    <t>El operador aplica filtros combinados de fecha, estado y conductor sobre el listado operativo desde el panel.</t>
  </si>
  <si>
    <t>Producción, uso habitual del panel durante horario operativo, con el listado conteniendo varios miles de registros históricos.</t>
  </si>
  <si>
    <t>Componente de filtros ListadoServiciosFiltros en el frontend, respaldado por el endpoint GET /api/v1/servicios con parámetros de consulta fecha, estado, conductorId y pasajeroId.</t>
  </si>
  <si>
    <t>El sistema permite combinar los filtros disponibles sin pasos intermedios ni recarga de página, devolviendo el listado ya acotado a los criterios seleccionados.</t>
  </si>
  <si>
    <t>El 90% de los operadores completan una búsqueda filtrada de tres criterios en ≤3 interacciones, medido en pruebas de usabilidad.</t>
  </si>
  <si>
    <t>OPLOG-AUD-03</t>
  </si>
  <si>
    <t>Un Operador logístico observa un valor inusualmente alto en la tasa de cancelación del mes y necesita identificar qué servicios específicos la componen.</t>
  </si>
  <si>
    <t>El operador solicita, desde el detalle del KPI en el dashboard, el desglose de los eventos que originaron el valor reportado.</t>
  </si>
  <si>
    <t>Producción, consulta de auditoría sobre un periodo cerrado (mes anterior) con el histórico ya consolidado.</t>
  </si>
  <si>
    <t>Modelo de trazabilidad KpiCalculationLog (capa Infrastructure), que vincula cada valor de KPI agregado con los IDs de servicio individuales que lo componen.</t>
  </si>
  <si>
    <t>El sistema permite hacer drill-down desde el KPI agregado hasta el listado de servicios individuales que contribuyeron a su cálculo, con acceso directo al registro de auditoría de cada uno.</t>
  </si>
  <si>
    <t>100% de los KPIs mostrados en el dashboard permiten trazabilidad hasta los registros de servicio individuales de origen, en un máximo de 2 pasos de navegación.</t>
  </si>
  <si>
    <t>OPLOG-INTEROP-03</t>
  </si>
  <si>
    <t>El área de planeación de una empresa cliente solicita al Operador logístico los KPIs operativos del trimestre para cruzarlos con su propio modelo de análisis en Power BI.</t>
  </si>
  <si>
    <t>El operador solicita la exportación de los indicadores operativos del periodo seleccionado en un formato reutilizable fuera de la plataforma.</t>
  </si>
  <si>
    <t>Producción, exportación de un periodo trimestral (~3,000 servicios agregados) solicitada fuera del horario pico de operación.</t>
  </si>
  <si>
    <t>Endpoint GET /api/v1/reportes/exportar del componente ReportingExportService (capa Application), con soporte de formato XLSX y CSV.</t>
  </si>
  <si>
    <t>El sistema genera un archivo estructurado con encabezados y tipos de dato consistentes, listo para ser importado directamente sin reformateo manual.</t>
  </si>
  <si>
    <t>100% de las exportaciones generan un archivo válido, importable sin errores de formato en Excel o Power BI, en ≤10 segundos para periodos de hasta un trimestre.</t>
  </si>
  <si>
    <t>OPLOG-PORT-03</t>
  </si>
  <si>
    <t>Un Operador logístico revisa los indicadores del día desde su computador de escritorio en la oficina y, más tarde, desde su teléfono personal mientras se desplaza entre sedes.</t>
  </si>
  <si>
    <t>El operador accede a los indicadores operativos del día desde el navegador móvil de su teléfono en lugar del panel web completo.</t>
  </si>
  <si>
    <t>Producción, acceso desde smartphone con navegador estándar y conexión de datos móviles, fuera de la red corporativa.</t>
  </si>
  <si>
    <t>Vista adaptativa DashboardKpiMovil, subconjunto responsivo del componente de reportes del frontend, servida por los mismos endpoints de KPI que el panel de escritorio.</t>
  </si>
  <si>
    <t>El sistema presenta los indicadores principales en una disposición de una sola columna optimizada para pantallas pequeñas, sin omitir valores ni etiquetas.</t>
  </si>
  <si>
    <t>Los 6 KPIs operativos principales se visualizan completos y sin pérdida de datos en viewports desde 360px de ancho, verificado en pruebas cross-device.</t>
  </si>
  <si>
    <t>OPLOG-UX-03</t>
  </si>
  <si>
    <t>Un Operador logístico recién incorporado revisa por primera vez el dashboard de KPIs operativos sin haber recibido capacitación previa sobre cada indicador.</t>
  </si>
  <si>
    <t>El operador se encuentra con un indicador cuyo nombre no le resulta evidente (por ejemplo, 'tiempo promedio de asignación') y necesita entender qué mide sin consultar a un compañero.</t>
  </si>
  <si>
    <t>Producción, primer acceso del operador al módulo de KPIs, sin sesión de capacitación previa registrada.</t>
  </si>
  <si>
    <t>Catálogo de metadatos KpiDefinicionCatalogo, integrado como tooltip contextual en cada tarjeta de indicador del componente de dashboard en el frontend.</t>
  </si>
  <si>
    <t>Cada indicador del dashboard muestra, al pasar el cursor o al tocar un ícono de ayuda, una definición breve de qué mide y cómo se calcula.</t>
  </si>
  <si>
    <t>En pruebas de usabilidad, ≥90% de los operadores explican correctamente el significado de un KPI consultado sin asistencia externa, tras leer su definición embebida.</t>
  </si>
  <si>
    <t>INT-MANT-02</t>
  </si>
  <si>
    <t>El equipo tecnico interno evalua reemplazar proveedor de WhatsApp Business por otro proveedor de WhatsApp por motivos de costo.</t>
  </si>
  <si>
    <t>Se solicita reemplazar la implementacion de mensajeria basada en proveedor de WhatsApp Business por un nuevo proveedor sin afectar la logica de negocio.</t>
  </si>
  <si>
    <t>Entorno de desarrollo, rama de feature aislada, fuera de horario de operacion productiva.</t>
  </si>
  <si>
    <t>Interfaz INotificacionWhatsApp (capa Application) y su implementacion proveedor de WhatsApp BusinessWhatsAppAdapter (capa Infrastructure).</t>
  </si>
  <si>
    <t>El equipo implementa un nuevo adaptador que satisface la interfaz existente y lo registra en el contenedor de inyeccion de dependencias, sin modificar clases de Domain ni Application.</t>
  </si>
  <si>
    <t>0 cambios en clases de Domain/Application; esfuerzo ≤3 dias-desarrollador; 100% de los tests de integracion existentes pasan sin modificacion.</t>
  </si>
  <si>
    <t>INT-MANT-03</t>
  </si>
  <si>
    <t>El equipo tecnico interno detecta, via reporte de QA, un bug en el motor de asignacion que asigna conductores fuera del radio permitido.</t>
  </si>
  <si>
    <t>Se requiere corregir la logica de calculo de radio/distancia del servicio de asignacion de conductores.</t>
  </si>
  <si>
    <t>Entorno de desarrollo con suite de regresion ejecutandose en el pipeline de CI antes de cualquier merge.</t>
  </si>
  <si>
    <t>Servicio de asignacion (AsignacionService) y la estrategia de calculo de radio en la capa Application.</t>
  </si>
  <si>
    <t>El equipo corrige el bug modificando exclusivamente el componente de calculo de radio y ejecuta la suite de regresion completa antes de fusionar el cambio.</t>
  </si>
  <si>
    <t>Cambio confinado a ≤2 archivos de codigo; 0 tests rotos en modulos no relacionados (facturacion, notificaciones, reportes); correccion entregada en ≤1 dia-desarrollador.</t>
  </si>
  <si>
    <t>INT-MANT-04</t>
  </si>
  <si>
    <t>El equipo tecnico interno decide actualizar la version de Entity Framework Core para incorporar parches de seguridad.</t>
  </si>
  <si>
    <t>Se solicita actualizar el paquete NuGet de Entity Framework Core utilizado en la capa Infrastructure a una version menor superior.</t>
  </si>
  <si>
    <t>Pipeline de CI/CD, ejecutado antes de cualquier despliegue a produccion, contra una base de datos PostgreSQL de prueba.</t>
  </si>
  <si>
    <t>DbContext, configuraciones de entidades y archivo de proyecto (.csproj) en la capa Infrastructure.</t>
  </si>
  <si>
    <t>El equipo actualiza el paquete, aplica las migraciones existentes y ejecuta la suite de pruebas de integracion, resolviendo los breaking changes documentados por Microsoft.</t>
  </si>
  <si>
    <t>100% de las pruebas de integracion pasan tras la actualizacion; esfuerzo ≤2 dias-desarrollador; 0 cambios requeridos en Domain o Application.</t>
  </si>
  <si>
    <t>INT-AISL-02</t>
  </si>
  <si>
    <t>El equipo tecnico interno revisa la arquitectura del cache en memoria durante una auditoria de seguridad interna.</t>
  </si>
  <si>
    <t>Dos usuarios de empresas distintas solicitan concurrentemente el mismo tipo de recurso (ej. lista de rutas activas) cuya clave logica de cache podria coincidir entre tenants.</t>
  </si>
  <si>
    <t>Produccion, bajo carga concurrente de multiples empresas usando el mismo proceso de la API.</t>
  </si>
  <si>
    <t>Componente de Cache-Aside basado en IMemoryCache con TTL de 5 minutos, en la capa Infrastructure/Application.</t>
  </si>
  <si>
    <t>El sistema genera claves de cache compuestas que incluyen obligatoriamente el empresaId, garantizando que ninguna empresa reciba datos cacheados de otra.</t>
  </si>
  <si>
    <t>0 incidentes de fuga de datos entre tenants en pruebas de carga con ≥2 empresas concurrentes; 100% de las claves de cache auditadas contienen el prefijo empresaId.</t>
  </si>
  <si>
    <t>INT-AISL-03</t>
  </si>
  <si>
    <t>Un Operador logístico solicita la generacion de un reporte agregado ejecutivo (RF-50, utilizacion de flota) para su propia empresa.</t>
  </si>
  <si>
    <t>Se ejecuta una consulta de agregacion (GROUP BY/SUM/COUNT) sobre datos que abarcan multiples empresas en la base de datos compartida.</t>
  </si>
  <si>
    <t>Produccion, modulo de reportes ejecutivos (RF-49 a RF-52), base de datos PostgreSQL multi-tenant.</t>
  </si>
  <si>
    <t>Servicio de generacion de reportes (ReporteService) y las consultas EF Core con el filtro global por empresaId.</t>
  </si>
  <si>
    <t>El sistema aplica el filtro global de EF Core en todas las consultas de agregacion antes de calcular las metricas, evitando que datos de otras empresas contaminen los totales del reporte.</t>
  </si>
  <si>
    <t>0 registros de otra empresa incluidos en 100% de los reportes generados en pruebas con datos de ≥3 empresas; verificacion automatizada incluida en el pipeline de CI.</t>
  </si>
  <si>
    <t>INT-AISL-04</t>
  </si>
  <si>
    <t>Un Administrador del operador consulta el historial de auditoria de su propia organizacion.</t>
  </si>
  <si>
    <t>La consulta al log de auditoria intenta recuperar registros de la tabla compartida flowride_audit, incluyendo un intento de manipular parametros de consulta para ver otra empresa.</t>
  </si>
  <si>
    <t>Produccion, tabla flowride_audit compartida entre todos los tenants de la plataforma.</t>
  </si>
  <si>
    <t>Tabla flowride_audit y su capa de acceso a datos (AuditoriaRepository).</t>
  </si>
  <si>
    <t>El sistema filtra automaticamente por empresaId en toda consulta de auditoria y rechaza el acceso a registros de otras empresas incluso ante manipulacion de parametros de la solicitud.</t>
  </si>
  <si>
    <t>0 registros de auditoria de otra empresa visibles en 100% de los intentos de acceso cruzado en pruebas de penetracion interna; tiempo de respuesta de la consulta ≤500 ms.</t>
  </si>
  <si>
    <t>INT-MOD-02</t>
  </si>
  <si>
    <t>El equipo tecnico interno recibe la decision de negocio de reducir costos de mensajeria migrando de proveedor de WhatsApp Business a la API oficial de Meta (WhatsApp Cloud API).</t>
  </si>
  <si>
    <t>Se solicita reemplazar proveedor de WhatsApp BusinessWhatsAppAdapter por un nuevo adaptador a WhatsApp Cloud API sin afectar los casos de uso de Application.</t>
  </si>
  <si>
    <t>Desarrollo, con el contenedor de inyeccion de dependencias configurado en Program.cs.</t>
  </si>
  <si>
    <t>Interfaz IProveedorMensajeria y su registro en el contenedor de inyeccion de dependencias (capa API/Infrastructure).</t>
  </si>
  <si>
    <t>El equipo crea una nueva clase que implementa IProveedorMensajeria y cambia unicamente la linea de registro en el contenedor DI para activar el nuevo proveedor.</t>
  </si>
  <si>
    <t>Cambio de proveedor implementado modificando ≤1 archivo de configuracion de DI y creando 1 clase nueva; esfuerzo ≤4 dias-desarrollador; 0 modificaciones en casos de uso de Application.</t>
  </si>
  <si>
    <t>INT-MOD-03</t>
  </si>
  <si>
    <t>Un Administrador del operador solicita una alternativa a WhatsApp para notificaciones administrativas cuando el pasajero no responde por ese canal.</t>
  </si>
  <si>
    <t>Se solicita agregar un nuevo canal de notificacion por correo electronico (SMTP) que coexista con el canal WhatsApp existente.</t>
  </si>
  <si>
    <t>Desarrollo, capa de notificaciones organizada con un despachador de eventos (patron Strategy/Observer por canal).</t>
  </si>
  <si>
    <t>Interfaz ICanalNotificacion y NotificacionDispatcher en la capa Application.</t>
  </si>
  <si>
    <t>El equipo agrega una nueva implementacion EmailNotificacionAdapter que se registra junto al canal existente, sin modificar la logica de negocio que dispara las notificaciones.</t>
  </si>
  <si>
    <t>0 cambios en la logica de disparo de eventos de dominio; funcionalidad entregada en ≤5 dias-desarrollador; cobertura de tests unitarios del nuevo canal ≥80%.</t>
  </si>
  <si>
    <t>INT-MOD-04</t>
  </si>
  <si>
    <t>El equipo tecnico interno recibe una decision de seguridad de reducir la ventana de exposicion de los tokens de acceso.</t>
  </si>
  <si>
    <t>Se solicita reducir el tiempo de expiracion del JWT de 60 a 30 minutos e introducir un mecanismo de refresh token.</t>
  </si>
  <si>
    <t>Desarrollo y staging, servicio de autenticacion de la API.</t>
  </si>
  <si>
    <t>Clase JwtTokenService y configuracion de TokenValidationParameters en la capa API (seguridad de Infrastructure).</t>
  </si>
  <si>
    <t>El equipo modifica el valor de configuracion de expiracion y agrega la logica de refresh token sin alterar el middleware de validacion de claims ni la logica de autorizacion por rol existente.</t>
  </si>
  <si>
    <t>Cambio implementado modificando ≤2 archivos de configuracion/servicio; 0 regresiones en pruebas de autorizacion por rol; despliegue completo en ≤3 dias-desarrollador.</t>
  </si>
  <si>
    <t>INT-TEST-02</t>
  </si>
  <si>
    <t>El equipo tecnico interno aplica practicas de TDD sobre el motor de asignacion de conductores.</t>
  </si>
  <si>
    <t>Se requiere validar la logica de asignacion ante distintos escenarios de disponibilidad de conductores sin depender de una instancia real de PostgreSQL.</t>
  </si>
  <si>
    <t>Entorno de desarrollo local y pipeline de CI (GitHub Actions).</t>
  </si>
  <si>
    <t>Interfaces IConductorRepository / IViajeRepository y sus implementaciones en memoria (InMemoryConductorRepository) inyectadas en AsignacionService.</t>
  </si>
  <si>
    <t>El equipo ejecuta la suite de pruebas unitarias del motor de asignacion utilizando repositorios en memoria inyectados via DI, sin levantar base de datos real.</t>
  </si>
  <si>
    <t>Suite completa ejecuta en ≤30 segundos; cobertura de lineas del motor de asignacion ≥85%; 0 dependencias de infraestructura externa durante la ejecucion.</t>
  </si>
  <si>
    <t>INT-TEST-03</t>
  </si>
  <si>
    <t>El equipo tecnico interno necesita validar el endpoint que recibe callbacks del webhook de WhatsApp (confirmaciones, respuestas de pasajeros).</t>
  </si>
  <si>
    <t>Se requiere probar el procesamiento del webhook de proveedor de WhatsApp Business ante payloads validos e invalidos sin enviar mensajes reales ni depender de la cuenta de proveedor de WhatsApp Business.</t>
  </si>
  <si>
    <t>Pipeline de CI, etapa de pruebas de integracion.</t>
  </si>
  <si>
    <t>Controlador WhatsAppWebhookController (capa API) y cliente Iproveedor de WhatsApp BusinessClient con implementacion stub/fake.</t>
  </si>
  <si>
    <t>El equipo reemplaza el cliente real de proveedor de WhatsApp Business por un stub que simula payloads de webhook validos, malformados y con firma invalida, permitiendo probar el controlador de forma deterministica.</t>
  </si>
  <si>
    <t>100% de los casos de payload (valido, malformado, firma invalida) cubiertos por pruebas automatizadas; ejecucion del set de pruebas ≤15 segundos; 0 llamadas HTTP salientes reales durante la ejecucion.</t>
  </si>
  <si>
    <t>INT-TEST-04</t>
  </si>
  <si>
    <t>El equipo tecnico interno busca evaluar la efectividad real de la suite de tests unitarios sobre las reglas de negocio criticas, mas alla del porcentaje de cobertura de lineas.</t>
  </si>
  <si>
    <t>Se requiere ejecutar un analisis de mutation testing sobre las clases de reglas de negocio criticas (calculo de tarifas, reglas de asignacion) e identificar mutantes sobrevivientes.</t>
  </si>
  <si>
    <t>Pipeline de CI, ejecucion programada semanal (no en cada commit, por costo de tiempo de computo).</t>
  </si>
  <si>
    <t>Clases de reglas de negocio criticas en la capa Domain (CalculadoraTarifa, ReglaAsignacion) y herramienta de mutation testing (Stryker.NET).</t>
  </si>
  <si>
    <t>El equipo ejecuta el analisis de mutacion semanalmente sobre las clases criticas seleccionadas y utiliza los mutantes sobrevivientes para reforzar los tests existentes.</t>
  </si>
  <si>
    <t>Mutation score ≥70% sobre las clases criticas seleccionadas; ejecucion completa ≤20 minutos; maximo 1 ejecucion semanal para no exceder el presupuesto de CI del equipo.</t>
  </si>
  <si>
    <t>INT-OBS-02</t>
  </si>
  <si>
    <t>El sistema de monitoreo del equipo de operaciones interno vigila continuamente el rendimiento de los endpoints criticos.</t>
  </si>
  <si>
    <t>El tiempo de respuesta promedio del endpoint de asignacion de viajes supera un umbral definido durante un periodo sostenido.</t>
  </si>
  <si>
    <t>Produccion, horario de operacion normal, sin incidentes reportados por usuarios.</t>
  </si>
  <si>
    <t>Middleware de metricas de ASP.NET Core y dashboard de monitoreo centralizado.</t>
  </si>
  <si>
    <t>El sistema genera una alerta automatica al equipo tecnico antes de que los usuarios reporten lentitud, permitiendo investigacion proactiva del componente afectado.</t>
  </si>
  <si>
    <t>Alerta generada dentro de ≤5 minutos de superado el umbral (p95 &gt;2s durante 3 minutos consecutivos); 0 quejas de usuario recibidas antes de la alerta en pruebas simuladas.</t>
  </si>
  <si>
    <t>INT-OBS-03</t>
  </si>
  <si>
    <t>El equipo de operaciones interno detecta un incremento subito de respuestas HTTP 500 en el API.</t>
  </si>
  <si>
    <t>Se produce un pico de errores 500 durante el horario pico de solicitudes de viajes (7am-9am), sin poder reproducir el incidente en desarrollo.</t>
  </si>
  <si>
    <t>Produccion, bajo alta concurrencia de solicitudes.</t>
  </si>
  <si>
    <t>Logging estructurado centralizado (Serilog) con correlationId propagado en la capa API.</t>
  </si>
  <si>
    <t>El equipo utiliza los logs estructurados y el correlationId de cada solicitud para identificar el componente causante (ej. timeout de conexion a PostgreSQL) y aislar la causa raiz sin reproducir el incidente localmente.</t>
  </si>
  <si>
    <t>Causa raiz identificada en ≤30 minutos desde la alerta; trazabilidad completa de la solicitud en 100% de los casos con correlationId presente en los logs.</t>
  </si>
  <si>
    <t>INT-OBS-04</t>
  </si>
  <si>
    <t>El equipo de operaciones interno monitorea la integracion con la WhatsApp Business API de Twilio.</t>
  </si>
  <si>
    <t>La tasa de entregas exitosas de mensajes WhatsApp (delivery status callback) cae por debajo del umbral aceptable.</t>
  </si>
  <si>
    <t>Produccion, integracion activa con Twilio Business API.</t>
  </si>
  <si>
    <t>Componente WhatsAppWebhookController y metrica de tasa de exito de entrega derivada de los callbacks de estado.</t>
  </si>
  <si>
    <t>El sistema registra y expone la tasa de exito de entrega de mensajes en un dashboard de monitoreo, generando una alerta cuando la tasa cae bajo el umbral definido.</t>
  </si>
  <si>
    <t>Tasa de entrega monitoreada con latencia de actualizacion ≤1 minuto; alerta disparada cuando la tasa de exito es &lt;95% en una ventana de 10 minutos; tiempo de deteccion ≤5 minutos.</t>
  </si>
  <si>
    <t>INT-DESP-02</t>
  </si>
  <si>
    <t>El equipo tecnico interno planifica el ciclo de release que incluye un cambio de esquema de base de datos.</t>
  </si>
  <si>
    <t>Se requiere aplicar una migracion de EF Core que agrega una columna a la tabla Viajes, una tabla de alto trafico, en produccion.</t>
  </si>
  <si>
    <t>Produccion, base de datos PostgreSQL con trafico activo de lectura y escritura.</t>
  </si>
  <si>
    <t>Script de migracion de EF Core y pipeline de despliegue (GitHub Actions).</t>
  </si>
  <si>
    <t>El equipo aplica la migracion usando estrategias no bloqueantes (columnas nullable, sin locks prolongados) previamente verificadas en staging antes de ejecutarlas en produccion.</t>
  </si>
  <si>
    <t>Tiempo de bloqueo de la tabla ≤5 segundos; 0 solicitudes fallidas durante la migracion en pruebas de carga simulada; migracion completa aplicada en ≤10 minutos.</t>
  </si>
  <si>
    <t>INT-DESP-03</t>
  </si>
  <si>
    <t>El pipeline de CI/CD del equipo tecnico interno detecta una regresion mediante monitoreo automatizado post-despliegue.</t>
  </si>
  <si>
    <t>Un despliegue reciente a produccion introduce una regresion (incremento sostenido de errores 500) detectada minutos despues del release.</t>
  </si>
  <si>
    <t>Produccion, inmediatamente despues de completado un despliegue.</t>
  </si>
  <si>
    <t>Pipeline de GitHub Actions con etapa de despliegue versionado y artefactos de build de la version anterior estable.</t>
  </si>
  <si>
    <t>El equipo ejecuta el procedimiento de rollback automatizado del pipeline, restaurando la version anterior estable del servicio sin intervencion manual sobre la base de datos.</t>
  </si>
  <si>
    <t>Rollback completado en ≤10 minutos desde la deteccion; 0 perdida de datos durante el proceso; disponibilidad del servicio restaurada con ≤2 minutos de downtime.</t>
  </si>
  <si>
    <t>INT-DESP-04</t>
  </si>
  <si>
    <t>El equipo tecnico interno, con recursos limitados (3 desarrolladores a tiempo parcial), necesita validar cambios antes del release productivo.</t>
  </si>
  <si>
    <t>Se requiere levantar un ambiente de staging equivalente a produccion para validar una nueva version antes de su despliegue.</t>
  </si>
  <si>
    <t>Infraestructura de staging, pipeline de CI/CD.</t>
  </si>
  <si>
    <t>Pipeline de GitHub Actions con definicion de infraestructura como codigo (docker-compose / script de aprovisionamiento) y variables de entorno parametrizadas.</t>
  </si>
  <si>
    <t>El equipo ejecuta un unico pipeline parametrizado que aprovisiona el ambiente de staging, aplica migraciones de base de datos y despliega la aplicacion de forma reproducible.</t>
  </si>
  <si>
    <t>Ambiente de staging disponible en ≤15 minutos desde la ejecucion del pipeline; 0 pasos manuales requeridos; 100% de las variables de entorno verificadas como equivalentes a produccion.</t>
  </si>
  <si>
    <t>INT-REUS-02</t>
  </si>
  <si>
    <t>El equipo tecnico interno incorpora una nueva entidad de dominio (ej. Vehiculo) al sistema.</t>
  </si>
  <si>
    <t>Se requiere implementar el acceso a datos de una nueva entidad sin duplicar la logica de acceso a datos ya existente para otras entidades.</t>
  </si>
  <si>
    <t>Desarrollo, capa Infrastructure.</t>
  </si>
  <si>
    <t>Interfaz generica IRepository&lt;T&gt; y clase base RepositoryBase&lt;T&gt; en la capa Infrastructure.</t>
  </si>
  <si>
    <t>El equipo crea el repositorio especifico implementando la interfaz generica existente, reutilizando la logica comun de operaciones CRUD y del filtrado multi-tenant.</t>
  </si>
  <si>
    <t>Nuevo repositorio implementado en ≤1 dia-desarrollador; ≤20 lineas de codigo especifico por encima de la clase base; 0 duplicacion de la logica de filtrado por empresaId.</t>
  </si>
  <si>
    <t>INT-REUS-03</t>
  </si>
  <si>
    <t>El equipo tecnico interno introduce un nuevo tipo de evento de negocio (ej. recordatorio de mantenimiento de vehiculo).</t>
  </si>
  <si>
    <t>Se requiere notificar a los conductores sobre el nuevo tipo de evento reutilizando la infraestructura de envio de notificaciones ya existente para confirmaciones de viaje.</t>
  </si>
  <si>
    <t>Desarrollo, capa Application.</t>
  </si>
  <si>
    <t>NotificacionDispatcher e interfaz ICanalNotificacion, el mismo componente ya usado para confirmaciones de viaje.</t>
  </si>
  <si>
    <t>El equipo define el nuevo tipo de evento de dominio y lo conecta al despachador existente sin crear un nuevo mecanismo de envio de mensajes.</t>
  </si>
  <si>
    <t>Integracion completada en ≤2 dias-desarrollador; 0 nuevas clases de infraestructura de envio creadas; reutilizacion de ≥90% del codigo del modulo de notificaciones existente.</t>
  </si>
  <si>
    <t>INT-REUS-04</t>
  </si>
  <si>
    <t>El equipo tecnico interno detecta, durante revision de codigo, duplicacion potencial de logica de validacion entre el registro de pasajeros y el registro de conductores.</t>
  </si>
  <si>
    <t>Se requiere aplicar las mismas reglas de validacion (formato de telefono, documento de identidad, campos obligatorios) en dos endpoints distintos.</t>
  </si>
  <si>
    <t>Desarrollo, capa Application, validadores basados en FluentValidation.</t>
  </si>
  <si>
    <t>Validadores compartidos basados en FluentValidation (TelefonoValidatorBase, DocumentoIdentidadValidator) en la capa Application.</t>
  </si>
  <si>
    <t>El equipo extrae las reglas comunes a validadores reutilizables que ambos modulos referencian, eliminando la logica duplicada existente.</t>
  </si>
  <si>
    <t>0 duplicacion de reglas de validacion entre los dos modulos, verificado por el analisis de duplicacion de codigo de SonarCloud; refactorizacion completada en ≤1.5 dias-desarrollador.</t>
  </si>
  <si>
    <t>LEGAL-OSS-01</t>
  </si>
  <si>
    <t>Restriccion externa de negocio: la politica de propiedad intelectual del producto SaaS prohibe expresamente licencias GPL/AGPL para no verse obligados a liberar el codigo fuente.</t>
  </si>
  <si>
    <t>Una dependencia transitiva (paquete NuGet) incorporada durante el desarrollo resulta tener una licencia GPL/AGPL no detectada en la revision inicial de la dependencia directa.</t>
  </si>
  <si>
    <t>Pipeline de CI/CD, ejecutado antes de cada release, con auditorias periodicas de dependencias.</t>
  </si>
  <si>
    <t>Archivo de dependencias del proyecto (.csproj / packages.lock.json) y etapa de analisis de licencias del pipeline de GitHub Actions.</t>
  </si>
  <si>
    <t>El pipeline ejecuta un escaneo automatizado de licencias de dependencias directas y transitivas que bloquea el build y notifica al equipo cuando detecta una licencia incompatible, obligando a reemplazar la dependencia antes de continuar.</t>
  </si>
  <si>
    <t>Escaneo de licencias ejecutado en 100% de los builds de CI; deteccion de dependencia incompatible en ≤1 ejecucion de pipeline (≤10 minutos); 0 releases a produccion con dependencias GPL/AGPL sin resolver.</t>
  </si>
  <si>
    <t>LEGAL-SANDBOX-01</t>
  </si>
  <si>
    <t>Restriccion externa: la cuenta sandbox gratuita de Twilio para WhatsApp Business API impone un limite diario de mensajes, no ofrece numero comercial verificado y no soporta pruebas de carga real.</t>
  </si>
  <si>
    <t>El equipo necesita ejecutar la suite de pruebas automatizadas (unitarias, integracion, carga) en cada ejecucion de CI sin verse limitado por las cuotas de la cuenta sandbox de Twilio.</t>
  </si>
  <si>
    <t>Pipeline de CI (GitHub Actions), ejecutado en cada push/PR, potencialmente varias veces al dia con multiples ramas activas.</t>
  </si>
  <si>
    <t>Cliente ITwilioClient / adaptador TwilioWhatsAppAdapter y su doble de prueba (stub/mock) en la capa de pruebas.</t>
  </si>
  <si>
    <t>El equipo disena la suite de pruebas para depender de un stub/mock de la API de Twilio en el pipeline de CI, reservando la cuenta sandbox real unicamente para un conjunto reducido de pruebas de humo ejecutadas fuera del pipeline principal.</t>
  </si>
  <si>
    <t>0 llamadas a la API real de Twilio durante la ejecucion del pipeline de CI; 100% de las ejecuciones de CI completan sin ser bloqueadas por limite de cuota, incluso con multiples PRs simultaneos; pruebas de humo contra la cuenta sandbox real ejecutadas maximo 1 vez por dia.</t>
  </si>
  <si>
    <t>Banco de Escenarios de Calidad SELECCIONADOS — FlowRide · 33 escenarios vigentes</t>
  </si>
  <si>
    <t>Subconjunto utilizado para análisis de tácticas y trade-offs. Incluye Telemetría GPS y Calificación; excluye importación RRHH/CSV. Las decisiones de proveedor o patrón que aún requieren ADR se describen como direcciones/candidatos, no como decisiones aceptadas.</t>
  </si>
  <si>
    <t>Business Rationale</t>
  </si>
  <si>
    <t>Assumptions &amp; Risks</t>
  </si>
  <si>
    <t>Un usuario desvinculado no puede conservar acceso a información operacional o personal. La revocación rápida reduce riesgo contractual y de protección de datos.</t>
  </si>
  <si>
    <t>La implementación concreta depende del proveedor de identidad; debe soportar revocación efectiva ≤60 s sin usar empresaId como mecanismo de aislamiento.</t>
  </si>
  <si>
    <t>WhatsApp es el único canal funcional del conductor; una indisponibilidad en el arranque de turno impacta directamente la ejecución de servicios.</t>
  </si>
  <si>
    <t>La disponibilidad extremo a extremo depende de Meta y del proveedor técnico elegido; el adaptador debe permitir cambiar proveedor sin alterar el dominio.</t>
  </si>
  <si>
    <t>El pasajero debe poder solicitar un servicio en horarios críticos sin instalar otra aplicación ni depender de atención manual del administrador.</t>
  </si>
  <si>
    <t>La confirmación de asignación depende de disponibilidad real de recursos; no debe confundirse el SLA del canal con una promesa de conductor en un tiempo fijo.</t>
  </si>
  <si>
    <t>La intervención manual es la contingencia directa ante casos como abandono de turno; debe ser rápida y consistente para evitar retrasos adicionales.</t>
  </si>
  <si>
    <t>ADR-0007 establece transacciones PostgreSQL, concurrencia optimista mediante token de versión y Transactional Outbox. Un conflicto concurrente puede producir un reintento o una respuesta de conflicto al operado</t>
  </si>
  <si>
    <t>Operador trabaja 8h continuas en el panel. Un panel no-teclado le hace perder ~30% del tiempo por movimientos innecesarios de mouse. Justifica inversión en atajos de teclado como diferenciador de UX operativa.</t>
  </si>
  <si>
    <t>Requiere validación con operador real antes de fijar los 10 atajos. WCAG 2.1 AA como estándar de referencia.</t>
  </si>
  <si>
    <t>Detectar el retraso antes de que el pasajero pregunte protege la puntualidad y la confianza del cliente empresarial sin convertir FlowRide en un motor tipo ride-hailing.</t>
  </si>
  <si>
    <t>La precisión del ETA depende de la calidad y frecuencia de la fuente GPS. ADR-0005 establece ITelemetryProviderAdapter, normalización de RegistroUbicacion, almacenamiento en PostgreSQL particionado por tiempo y retención de 6 meses</t>
  </si>
  <si>
    <t>Permite reconstruir hechos ante reclamos del cliente empresarial, pasajero o conductor y sustenta responsabilidades operativas.</t>
  </si>
  <si>
    <t>Debe minimizar datos personales innecesarios y preservar aislamiento Silo; la tecnología física del almacén no se da por cerrada en este documento.</t>
  </si>
  <si>
    <t>Validación directa de la decisión estratégica de canal WhatsApp sobre app propia. Si un pasajero necesita capacitación para pedir un servicio, la decisión de canal fracasa.</t>
  </si>
  <si>
    <t>Requiere validar el flujo conversacional con un PoC y respetar las plantillas/políticas vigentes de WhatsApp Business; el dominio no depende del proveedor técnico.</t>
  </si>
  <si>
    <t>El Administrador del operador usa estos reportes para supervisar cumplimiento y carga operacional dentro de su tenant.</t>
  </si>
  <si>
    <t>ADR-0006 establece Cache-Aside local mediante IMemoryCache para información de baja volatilidad. PostgreSQL permanece como fuente de verdad y la caché no se utiliza para solicitudes, asignaciones, viajes en curso ni telemetría</t>
  </si>
  <si>
    <t>Conductor en movimiento no puede esperar 5s por cada acción; el pasajero ya está subiendo al vehículo. Retrasos en UI = fricción operativa constante.</t>
  </si>
  <si>
    <t>Depende de latencia móvil del proveedor de red del conductor. Optimizaciones sobre servidor tienen tope inherente por red.</t>
  </si>
  <si>
    <t>Una respuesta tardía provoca reintentos y confusión operacional; separar consulta de comando reduce trabajo innecesario.</t>
  </si>
  <si>
    <t>El canal externo puede añadir latencia; se requiere idempotencia y detección de duplicados sin acoplarse al proveedor.</t>
  </si>
  <si>
    <t>La confidencialidad entre operadores es parte del contrato SaaS y un diferenciador explícito del producto.</t>
  </si>
  <si>
    <t>Aprovisionamiento, credenciales y routing de tenant deben evitar configuraciones cruzadas; el mayor riesgo es operacional, no un filtro olvidado en una consulta.</t>
  </si>
  <si>
    <t>Un rol administrativo tiene privilegios amplios dentro de su operador, pero nunca sobre otro operador de FlowRide.</t>
  </si>
  <si>
    <t>Las herramientas técnicas de soporte/infraestructura requieren controles separados; no deben reutilizar permisos de aplicación.</t>
  </si>
  <si>
    <t>Un conductor no puede repudiar acciones ejecutadas desde su sesión: responde por lo que pase en el viaje. La suplantación destruye la trazabilidad de responsabilidad legal.</t>
  </si>
  <si>
    <t>La identidad debe permanecer desacoplada del dispositivo físico; el mecanismo de reautenticación/recuperación se define con el proveedor de identidad seleccionado.</t>
  </si>
  <si>
    <t>Un pasajero puede pedir servicios personales que su empresa no debe ver (visitas médicas, motivos personales). Sin distinción de tipo de servicio, el sistema expone información sensible al empleador.</t>
  </si>
  <si>
    <t>Requiere atributo esPersonal en SolicitudTransporte (no existe hoy en el diagrama de clases §13 — cambio pendiente al modelo).</t>
  </si>
  <si>
    <t>Picos con 3 turnos simultáneos (típico en industria minera) son cuando el operador más necesita el sistema. Un panel lento en ese momento = operador reactivo, no proactivo.</t>
  </si>
  <si>
    <t>La capacidad se dimensiona por instancia Silo. ADR-0010 permite incorporar múltiples réplicas stateless y balanceo cuando la carga o disponibilidad lo justifiquen, sin convertir Kubernetes ni el autoescalado en requisitos de V1.</t>
  </si>
  <si>
    <t>El crecimiento del operador no debe volver lenta una tarea administrativa recurrente.</t>
  </si>
  <si>
    <t>El índice concreto depende del modelo físico final; no debe incluir empresaId como partición de tenant porque el aislamiento es Silo.</t>
  </si>
  <si>
    <t>La instancia debe crecer con un operador real sin asumir cifras artificiales de decenas de miles de concurrentes.</t>
  </si>
  <si>
    <t>El escalado físico y el aprovisionamiento se formalizan en ADR-08; el costo debe mantenerse dentro del sobre por tenant.</t>
  </si>
  <si>
    <t>Los fallos transitorios del canal no deben convertir una notificación pendiente en una pérdida silenciosa.</t>
  </si>
  <si>
    <t>Se requiere idempotencia para evitar entregas duplicadas; la disponibilidad del proveedor externo no es controlable por FlowRide.</t>
  </si>
  <si>
    <t>Un operador con panel sin alertas es un operador ciego a incidentes. Alertas atrasadas 5 min = reacción tardía = daño operativo (viaje mal ejecutado sin corrección).</t>
  </si>
  <si>
    <t>CQRS ligero separa canal de alertas del renderizado del mapa. Requiere WebSocket o long-polling optimizado.</t>
  </si>
  <si>
    <t>Backend  + PostgreSQL; balanceador de carga</t>
  </si>
  <si>
    <t>Franja 03:00-05:00 es la más crítica para clientes de transporte aéreo (arranque de tripulaciones). Caídas ahí = impacto contractual inmediato con el cliente empresarial.</t>
  </si>
  <si>
    <t>ADR-0010 permite múltiples réplicas stateless detrás de un balanceador cuando el SLA o la carga del tenant lo requieran. La línea base puede operar con una instancia cuando el nivel de disponibilidad objetivo lo permita.</t>
  </si>
  <si>
    <t>Servicios que se "esfuman" del historial del conductor rompen su confianza en el sistema. Sin consistencia bajo concurrencia, el conductor reporta bugs al operador y bloquea la operación.</t>
  </si>
  <si>
    <t>Patrón Outbox validado por spike (ver hoja PoC y Spikes). Introduce complejidad operativa que solo se justifica por el impacto del bug.</t>
  </si>
  <si>
    <t>Pasajero ve un estado obsoleto y llama a soporte por algo que ya se resolvió. Genera carga innecesaria al operador y frustración del cliente.</t>
  </si>
  <si>
    <t>Cubierto por Outbox (ADR-0007). Requiere que el frontend refresque estado; alternativa websockets no utilizado para reasignación dinámica.</t>
  </si>
  <si>
    <t>Operadores con daltonismo (~8% hombres) no distinguen alertas rojas/verdes. Codificación por color + ícono + forma es cumplimiento WCAG 2.1 AA y evita error operativo por confusión visual.</t>
  </si>
  <si>
    <t>Requiere sistema de diseño con tokens de accesibilidad. Costo adicional bajo si se aplica desde el inicio.</t>
  </si>
  <si>
    <t>Administrador del operador no es experto en tecnología; si el panel requiere capacitación permanente, se pierde autonomía del cliente y aumenta el costo de soporte del equipo FlowRide.</t>
  </si>
  <si>
    <t>Cubierto parcialmente por diseño simple + documentación in-app. Requiere validación con administradores reales.</t>
  </si>
  <si>
    <t>La conectividad móvil puede ser intermitente durante la operación; el flujo debe recuperarse sin obligar al conductor a reconstruir la conversación.</t>
  </si>
  <si>
    <t>La plataforma no puede garantizar cobertura celular; solo preservar estado, idempotencia y recuperación cuando regresa la conectividad.</t>
  </si>
  <si>
    <t>La trazabilidad permite resolver reclamos sobre servicios cancelados y determinar responsabilidades operativas sin depender de conversaciones dispersas.</t>
  </si>
  <si>
    <t>La entidad CancelacionSolicitud forma parte del modelo vigente a materializar en el diseño detallado; debe minimizar datos personales innecesarios.</t>
  </si>
  <si>
    <t>La intervención manual es necesaria en contingencias, pero debe quedar explicada para conductores, administradores y futuras investigaciones.</t>
  </si>
  <si>
    <t>Comparte la política de auditoría con OPLOG-AUD-01; la tecnología de almacenamiento se define en ADR-0010.</t>
  </si>
  <si>
    <t>La telemetría habilita monitoreo de viajes y detección de desviación de ETA, capacidades vigentes de V1.</t>
  </si>
  <si>
    <t>Fuente GPS, protocolo y tecnología de almacenamiento se formalizan en ADR-0005. Retención de ubicación: 6 meses.</t>
  </si>
  <si>
    <t>Conductor que cambia de celular no puede perder acceso al sistema; su medio de trabajo depende de esa continuidad. Identidad por número WhatsApp (no por dispositivo) resuelve el escenario.</t>
  </si>
  <si>
    <t>Cubierto por identidad basada en número; independiente del dispositivo. Requiere reautenticación al detectar cambio de línea.</t>
  </si>
  <si>
    <t>La calificación crea evidencia de calidad operacional por conductor y permite análisis posteriores sin convertirse en un marketplace.</t>
  </si>
  <si>
    <t>Comentarios pueden contener datos personales o lenguaje inapropiado; deben conservarse con controles de acceso y política de tratamiento.</t>
  </si>
  <si>
    <t>Operador prefiere densidad de información sobre limpieza visual (opuesto al pasajero). Panel con exceso de espacios en blanco es percibido como "faltan datos" y baja su confianza.</t>
  </si>
  <si>
    <t>Requiere sistema de diseño con densidad configurable. Validación con operador real necesaria.</t>
  </si>
  <si>
    <t>Administrador del operador capacita a otros; una capacitación de 3 semanas por usuario nuevo es inviable operativamente. UX simple = onboarding auto-servicio.</t>
  </si>
  <si>
    <t>Requiere flujos guiados in-app y documentación embebida. Bajo costo si se aplica desde el diseño inicial.</t>
  </si>
  <si>
    <t>Nota sobre esquema SLA por niveles:</t>
  </si>
  <si>
    <t>SLA vigente por tiers: canal WhatsApp ≥99,9%; motor de asignación y operaciones críticas ≥99,5%; Panel Web Administrativo ≥99%. Telemetría: ≥100 eventos/min por instancia y retención GPS de 6 meses. Auditoría legal: 5 años.</t>
  </si>
  <si>
    <t>Codigo</t>
  </si>
  <si>
    <t>RF relacionado</t>
  </si>
  <si>
    <t>Tactica(s) aplicada(s)</t>
  </si>
  <si>
    <t>Patron / Building Block</t>
  </si>
  <si>
    <t>Solucion propuesta</t>
  </si>
  <si>
    <t>ADR relacionado</t>
  </si>
  <si>
    <t>Requiere PoC/Spike</t>
  </si>
  <si>
    <t>RF-02, RF-25</t>
  </si>
  <si>
    <t>Revocar acceso; Autorizar actores; Auditar</t>
  </si>
  <si>
    <t>Servicio de identidad/sesiones + autorización por roles</t>
  </si>
  <si>
    <t>Validar estado de la cuenta y aplicar revocación efectiva en ≤60 s. El límite de tenant se resuelve por Silo, no por claims empresaId.</t>
  </si>
  <si>
    <t>ADR-0003</t>
  </si>
  <si>
    <t>Sí — validar revocación con proveedor candidato</t>
  </si>
  <si>
    <t>RF-17, RF-53</t>
  </si>
  <si>
    <t>Monitorear salud; Gestionar recursos en franja crítica</t>
  </si>
  <si>
    <t>Adaptador WhatsApp Business + health checks</t>
  </si>
  <si>
    <t>Mantener capacidad suficiente en la franja crítica y supervisar salud extremo a extremo del canal para sostener ≥99,9% mensual.</t>
  </si>
  <si>
    <t>ADR-0008 / ADR-0010 / ADR-0011</t>
  </si>
  <si>
    <t>No</t>
  </si>
  <si>
    <t>RF-09, RF-14</t>
  </si>
  <si>
    <t>Encolar; Aislar trabajo síncrono de procesamiento</t>
  </si>
  <si>
    <t>Recepción rápida + cola/estado Pendiente</t>
  </si>
  <si>
    <t>Confirmar recepción sin bloquearse por el tiempo del motor de asignación; una solicitud confirmada no puede perderse.</t>
  </si>
  <si>
    <t>ADR-0008 / ADR-0007</t>
  </si>
  <si>
    <t>Sí — prueba de pérdida/idempotencia</t>
  </si>
  <si>
    <t>RF-12, RF-39</t>
  </si>
  <si>
    <t>Controlar concurrencia; Mantener consistencia</t>
  </si>
  <si>
    <t>Control de versión/conflicto transaccional sobre Asignación</t>
  </si>
  <si>
    <t>Permitir una única reasignación confirmada ante acciones concurrentes y mantener CRUD P95 &lt;500 ms.</t>
  </si>
  <si>
    <t>Sí — Spike de concurrencia</t>
  </si>
  <si>
    <t>Transversal (Panel Web)</t>
  </si>
  <si>
    <t>Soportar iniciativa del usuario</t>
  </si>
  <si>
    <t>Atajos de teclado + navegación Tab/Shift+Tab</t>
  </si>
  <si>
    <t>Permitir que las acciones operativas frecuentes sean ejecutables por teclado sin eliminar funcionalidad del Panel Web.</t>
  </si>
  <si>
    <t>—</t>
  </si>
  <si>
    <t>Sí — prueba de usabilidad</t>
  </si>
  <si>
    <t>RF-55, RF-56, RF-16</t>
  </si>
  <si>
    <t>Detectar desviación; Notificación proactiva</t>
  </si>
  <si>
    <t>Ingesta de telemetría + detector de ETA + notificaciones</t>
  </si>
  <si>
    <t>Comparar telemetría vigente con el ETA comprometido y notificar desviaciones &gt;5 min en &lt;60 s, sin reasignar por cercanía.</t>
  </si>
  <si>
    <t>ADR-0005 / ADR-0008</t>
  </si>
  <si>
    <t>Sí — PoC de telemetría/ETA</t>
  </si>
  <si>
    <t>RF-40, RF-52</t>
  </si>
  <si>
    <t>Auditar; Registrar estado del sistema</t>
  </si>
  <si>
    <t>Servicio/almacén de auditoría por tenant</t>
  </si>
  <si>
    <t>Registrar acciones sensibles con actor, timestamp, motivo y cambios relevantes; retener auditoría legal por 5 años.</t>
  </si>
  <si>
    <t>ADR-0011</t>
  </si>
  <si>
    <t>RF-09, RF-15</t>
  </si>
  <si>
    <t>Soportar iniciativa del sistema (mantener modelo de tarea)</t>
  </si>
  <si>
    <t>Maquina de estados conversacional (bot de WhatsApp)</t>
  </si>
  <si>
    <t>El pasajero pide su primer viaje sin instalar nada ni recibir capacitacion: solo escribe por WhatsApp y el sistema lo guia. El bot guia al pasajero paso a paso manteniendo el estado de la conversacion, sin exigir descargas ni registro adicional.</t>
  </si>
  <si>
    <t>ADR-0008</t>
  </si>
  <si>
    <t>Si — PoC bot conversacional</t>
  </si>
  <si>
    <t>RF-42, RF-46-RF-49</t>
  </si>
  <si>
    <t>Gestionar recursos; Cachear solo datos de baja volatilidad</t>
  </si>
  <si>
    <t>Capa de caché desacoplada para consultas no críticas</t>
  </si>
  <si>
    <t>Acelerar dashboards/reportes sin usar caché como fuente de verdad para solicitudes, asignaciones, viajes o telemetría.</t>
  </si>
  <si>
    <t>Sí — benchmark de caché</t>
  </si>
  <si>
    <t>RF-18</t>
  </si>
  <si>
    <t>Reducir overhead; Procesamiento asíncrono</t>
  </si>
  <si>
    <t>Procesador ligero de comandos WhatsApp</t>
  </si>
  <si>
    <t>Confirmar comandos operativos sin bloquear el webhook ni introducir dependencia del proveedor concreto.</t>
  </si>
  <si>
    <t>RF-32 (no significativo) / RF-09</t>
  </si>
  <si>
    <t>Reducir acoplamiento (separar consulta de comando); Reducir overhead</t>
  </si>
  <si>
    <t>CQRS ligero — handler de consulta directo a tabla Solicitudes</t>
  </si>
  <si>
    <t>El pasajero pregunta como va su solicitud y obtiene respuesta al instante, sin que el sistema tenga que recalcular nada de mas. La consulta de estado se resuelve leyendo directamente la tabla Solicitudes, sin invocar al motor de asignacion, evitando el costo de recalcular nada para una simple lectura.</t>
  </si>
  <si>
    <t>ADR-0001 / ADR-0004</t>
  </si>
  <si>
    <t>RF-19, RF-20</t>
  </si>
  <si>
    <t>Separar recursos; Limitar acceso</t>
  </si>
  <si>
    <t>Resolución de tenant + conexión a Silo</t>
  </si>
  <si>
    <t>La sesión del operador solo puede resolver la persistencia de su tenant; no existe consulta compartida entre operadores.</t>
  </si>
  <si>
    <t>ADR-0002</t>
  </si>
  <si>
    <t>Sí — Spike de aislamiento Silo</t>
  </si>
  <si>
    <t>RF-02, RF-19</t>
  </si>
  <si>
    <t>Autorizar actores; Limitar acceso; Auditar</t>
  </si>
  <si>
    <t>RBAC + resolución de tenant Silo</t>
  </si>
  <si>
    <t>Rechazar cualquier operación sobre recursos de otro tenant y registrar el intento como evento de seguridad.</t>
  </si>
  <si>
    <t>RF-01, RF-18</t>
  </si>
  <si>
    <t>Autenticar actores; Validar origen</t>
  </si>
  <si>
    <t>Identidad de WhatsApp + cuenta de usuario</t>
  </si>
  <si>
    <t>Antes de una acción crítica, comprobar que el remitente corresponde al conductor autorizado para el servicio.</t>
  </si>
  <si>
    <t>RF-09, RF-19</t>
  </si>
  <si>
    <t>Limitar exposición; Autorizar por contexto</t>
  </si>
  <si>
    <t>Política de visibilidad para solicitud personal</t>
  </si>
  <si>
    <t>Ocultar origen/destino de solicitudes personales a roles no autorizados, manteniendo solo el estado operacional necesario.</t>
  </si>
  <si>
    <t>RF-10, RF-11</t>
  </si>
  <si>
    <t>Gestionar recursos; Introducir concurrencia controlada</t>
  </si>
  <si>
    <t>Procesamiento del motor dimensionado por instancia Silo</t>
  </si>
  <si>
    <t>Sostener picos operativos del tenant sin convertir el motor en microservicio ni depender de proximidad GPS.</t>
  </si>
  <si>
    <t>ADR-0001 / ADR-0010</t>
  </si>
  <si>
    <t>Sí — prueba de carga</t>
  </si>
  <si>
    <t>RF-05, RF-38</t>
  </si>
  <si>
    <t>Reducir overhead; Indexar y paginar</t>
  </si>
  <si>
    <t>Paginación server-side + índices dentro del Silo</t>
  </si>
  <si>
    <t>Filtrar usuarios por rol/estado dentro del tenant sin usar empresaId como partición de aislamiento.</t>
  </si>
  <si>
    <t>ADR-0004</t>
  </si>
  <si>
    <t>RF-14</t>
  </si>
  <si>
    <t>Desacoplar recepción; Incrementar recursos</t>
  </si>
  <si>
    <t>Cola de procesamiento de mensajes entrantes</t>
  </si>
  <si>
    <t>Absorber picos de hasta 200 usuarios simultáneos por instancia manteniendo recepción rápida del webhook.</t>
  </si>
  <si>
    <t>ADR-0008 / ADR-0010</t>
  </si>
  <si>
    <t>RF-35</t>
  </si>
  <si>
    <t>Reintento con backoff; Encolar</t>
  </si>
  <si>
    <t>Política de reintentos + dead-letter queue</t>
  </si>
  <si>
    <t>Reintentar mensajes ante fallos transitorios del canal oficial de WhatsApp y preservar pendientes para recuperación.</t>
  </si>
  <si>
    <t>Sí — PoC de fallos del proveedor</t>
  </si>
  <si>
    <t>RF-45</t>
  </si>
  <si>
    <t>Reducir acoplamiento; Priorizar alertas críticas</t>
  </si>
  <si>
    <t>Servicio de alertas del Panel Web</t>
  </si>
  <si>
    <t>Entregar alertas críticas aunque un componente visual secundario esté degradado; objetivo de Panel Web 99%.</t>
  </si>
  <si>
    <t>ADR-0010 / ADR-0011</t>
  </si>
  <si>
    <t>RF-53</t>
  </si>
  <si>
    <t>Detectar fallos; Recuperar servicio</t>
  </si>
  <si>
    <t>Health checks + estrategia de recuperación de instancia</t>
  </si>
  <si>
    <t>Recuperar motor y operaciones críticas conforme al SLA 99,5%, manteniendo el costo compatible con el modelo Silo.</t>
  </si>
  <si>
    <t>ADR-0010</t>
  </si>
  <si>
    <t>Sí — prueba de recuperación</t>
  </si>
  <si>
    <t>RF-07, RF-10, RF-34</t>
  </si>
  <si>
    <t>Transacciones; Mantener consistencia</t>
  </si>
  <si>
    <t>Estado transaccional + publicación confiable de eventos</t>
  </si>
  <si>
    <t>Cuando un conductor cambia de estado, el motor debe observar una versión consistente y no asignarlo dos veces.</t>
  </si>
  <si>
    <t>RF-09, RF-30, RF-34</t>
  </si>
  <si>
    <t>Transacciones; Historial de estado</t>
  </si>
  <si>
    <t>EstadoSolicitudHistorial + fuente de verdad transaccional</t>
  </si>
  <si>
    <t>El pasajero consulta siempre el último estado confirmado de su solicitud, nunca un estado parcial.</t>
  </si>
  <si>
    <t>Soportar iniciativa del usuario — codificacion redundante (WCAG)</t>
  </si>
  <si>
    <t>Componente AlertBadge (color + icono + forma)</t>
  </si>
  <si>
    <t>El operador con daltonismo distingue las alertas criticas igual de rapido que cualquier otro, sin depender solo del color. Cada nivel de severidad se representa con color, icono y forma simultaneamente (no solo color), cumpliendo WCAG 2.1 AA (contraste &gt;=4.5:1).</t>
  </si>
  <si>
    <t>Soportar iniciativa del usuario y del sistema (ayuda contextual)</t>
  </si>
  <si>
    <t>UI con textos guia y validaciones inline</t>
  </si>
  <si>
    <t>Un administrador sin capacitacion previa hace su primera tarea sin trabarse, porque el sistema le explica que hacer en cada paso. Mensajes de error/ayuda contextual claros y confirmacion de cada accion critica, sin depender de capacitacion previa.</t>
  </si>
  <si>
    <t>RF-14, RF-18</t>
  </si>
  <si>
    <t>Recuperacion de fallos — reintento (misma tactica que #19, repetida)</t>
  </si>
  <si>
    <t>Mecanismo de reintento de mensajes de WhatsApp</t>
  </si>
  <si>
    <t>El conductor en zona de senal debil no pierde su conversacion con el sistema aunque la conexion se le corte varias veces. Reintentar hasta 3 veces en 10 minutos ante senal intermitente, preservando el estado de la conversacion mientras se restablece.</t>
  </si>
  <si>
    <t>RF-32, RF-52</t>
  </si>
  <si>
    <t>Auditar; Registro inmutable</t>
  </si>
  <si>
    <t>CancelacionSolicitud + auditoría</t>
  </si>
  <si>
    <t>Registrar quién canceló, cuándo, canal y motivo para reconstruir reclamos.</t>
  </si>
  <si>
    <t>RF-39, RF-52</t>
  </si>
  <si>
    <t>Auditar; Validar entrada</t>
  </si>
  <si>
    <t>Auditoría de intervención manual</t>
  </si>
  <si>
    <t>Exigir motivo y registrar actor, tipo de intervención y timestamp para cada acción manual sensible.</t>
  </si>
  <si>
    <t>RF-55</t>
  </si>
  <si>
    <t>Adaptar interfaz; Validar entrada; Aislar fallos</t>
  </si>
  <si>
    <t>Adaptador de telemetría + servicio de ingesta</t>
  </si>
  <si>
    <t>Aceptar al menos 100 eventos/min por instancia, asociarlos a tenant/vehículo/viaje y aislar eventos inválidos.</t>
  </si>
  <si>
    <t>Sí — PoC de ingesta/almacenamiento</t>
  </si>
  <si>
    <t>RF-01</t>
  </si>
  <si>
    <t>Abstraer identidad del dispositivo</t>
  </si>
  <si>
    <t>Identidad de usuario desacoplada del equipo físico</t>
  </si>
  <si>
    <t>El conductor conserva su identidad al cambiar de dispositivo si mantiene el medio de contacto/cuenta autorizada.</t>
  </si>
  <si>
    <t>RF-54</t>
  </si>
  <si>
    <t>Auditar; Validar autoría y unicidad</t>
  </si>
  <si>
    <t>Calificación vinculada a Viaje</t>
  </si>
  <si>
    <t>Aceptar una única calificación válida del pasajero asociado al viaje finalizado y conservar su trazabilidad.</t>
  </si>
  <si>
    <t>Soportar iniciativa del sistema — mantener modelo del sistema (jerarquia visual)</t>
  </si>
  <si>
    <t>Componente EstadoServicioIndicador (semaforizacion)</t>
  </si>
  <si>
    <t>Un operador nuevo entiende de un vistazo que servicio necesita atencion urgente, sin tener que leer cada fila con calma. Agrupar visualmente los servicios por nivel de atencion requerida (normal/atencion/critico) en la parte superior del tablero.</t>
  </si>
  <si>
    <t>RF-05</t>
  </si>
  <si>
    <t>Soportar iniciativa del usuario — validacion inline especifica</t>
  </si>
  <si>
    <t>UsuarioValidator (FluentValidation) + wizard de 3 pasos</t>
  </si>
  <si>
    <t>Un administrador sin experiencia registra su primer usuario guiandose solo por lo que ve en pantalla, sin llamar a soporte. Guiar el alta de usuario en un flujo corto con validaciones inline que indiquen campo y motivo exacto del error, sin mensajes tecnicos genericos.</t>
  </si>
  <si>
    <t>Título</t>
  </si>
  <si>
    <t>Atributos QA vigentes</t>
  </si>
  <si>
    <t>Contexto / driver vigente</t>
  </si>
  <si>
    <t>Dirección actual</t>
  </si>
  <si>
    <t>Alternativas consideradas</t>
  </si>
  <si>
    <t>Consecuencias</t>
  </si>
  <si>
    <t>Tácticas relacionadas</t>
  </si>
  <si>
    <t>RF y escenarios relacionados</t>
  </si>
  <si>
    <t>ADR-0001</t>
  </si>
  <si>
    <t>adoptar monolito modular con límites internos explícitos</t>
  </si>
  <si>
    <t>Accepted</t>
  </si>
  <si>
    <t>Mantenibilidad; Rendimiento; Capacidad; Escalabilidad</t>
  </si>
  <si>
    <t>FlowRide es un SaaS B2B2B para operadores de transporte corporativo con servicios programados, horarios estrictos y flota propia o de uso exclusivo. El sistema debe soportar hasta 200 usuarios simultáneos por instancia, mantener una operación transaccional consistente y evolucionar sin introducir complejidad de distribución que no esté respaldada por un driver real.</t>
  </si>
  <si>
    <t>Construir FlowRide como un monolito modular, con límites de módulo explícitos y dependencias dirigidas hacia el núcleo del negocio. Mantener la solución organizada en proyectos, sin interpretarse como microservicios. Los módulos internos comparten proceso de despliegue, pero no deben acoplar su lógica de negocio mediante acceso directo a implementaciones internas de otros módulos. Como SaaS B2B2B, FlowRide es un único producto licenciado a múltiples operadores, no un desarrollo a medida por cliente. Esta naturaleza de producto refuerza la elección: cada tenant despliega la misma versión del mismo artefacto , lo que mantiene un ciclo de relea…</t>
  </si>
  <si>
    <t>Se evaluaron tres alternativas frente a la elegida. El veredicto resumido de cada una: A. Microservicios — descartada: sin driver que exija escalado o despliegue diferenciado por módulo, solo añade costo de coordinación distribuida. B. Monolito sin modularización — descartada: sin límites internos, favorece acoplamiento transversal y dificulta evolucionar el motor de asignación. C. Serverless por función — descartada: dispersa el dominio en funciones aisladas y complica consistencia y depuración. El detalle de la comparación por atributo de calidad está en la tabla siguiente. Comparación de alternativas por atributo de calidad; Atributo / Cr…</t>
  </si>
  <si>
    <t>Positivas: Un único artefacto de aplicación simplifica despliegue, diagnóstico y pruebas end-to-end. Los módulos permiten localizar cambios sin introducir comunicación distribuida. Encaja con el aislamiento Silo: cada operador ejecuta una instancia lógica independiente del mismo producto. Permite evolucionar hacia extracción de servicios solo si un driver fu… Negativas: El ciclo de despliegue es compartido entre módulos. Un fallo de proceso puede afectar varios módulos de un mismo tenant si no se aplican límites y aislamiento internos. Requiere disciplina para impedir dependencias cruzadas que degraden el monolito modular en un monolito acoplado.</t>
  </si>
  <si>
    <t>Reducir acoplamiento — interfaces y adapters separan dominio de infraestructura y proveedores. Aumentar cohesión — cada módulo concentra responsabilidades de negocio relacionadas. Localizar cambios — las reglas y dependencias externas se encapsulan detrás de límites explícitos.</t>
  </si>
  <si>
    <t>OPLOG-CAP-01 — el motor debe sostener picos operativos del tenant sin requerir distribución por microservicios. PAS-REND-02 — las consultas simples no deben invocar lógica innecesaria del motor. Escenario de mantenibilidad — los cambios funcionales deben permanecer localizados.</t>
  </si>
  <si>
    <t>aislar cada operador mediante modelo multi-tenant Silo</t>
  </si>
  <si>
    <t>Aislamiento; Seguridad; Disponibilidad; Confiabilidad</t>
  </si>
  <si>
    <t>En FlowRide un tenant es un operador de transporte, no una empresa empresarial atendida por ese operador. Cada operador puede prestar servicio a aerolíneas, mineras, hospitales u otros clientes empresariales dentro de su propia operación. El aislamiento de datos entre operadores es una condición contractual y de seguridad. El identificador empresaId permanece en el dominio para identificar al cliente empresarial atendido dentro del tenant, pero no puede utilizarse como frontera de seguridad entre tenants.</t>
  </si>
  <si>
    <t>Adoptar un modelo multi-tenant Silo, con persistencia y credenciales de acceso separadas por operador. La sesión de aplicación debe resolver primero el tenant y, a partir de esa resolución, utilizar únicamente la conexión y recursos asignados a ese Silo. Automatizar aprovisionamiento, migraciones, backups, restauración y configuración por tenant. Ninguna consulta funcional debe depender de un filtro global por empresaId para impedir acceso a otro operador. La resolución del tenant se realiza mediante un claim tenantid incluido en el JWT emitido tras el login. El módulo de identidad autentica al usuario y determina su operador (Silo) antes de…</t>
  </si>
  <si>
    <t>Alternativa A — Pool: una única base compartida con tenantId Descartada. Minimiza costo operativo, pero un error de filtro o autorización puede exponer datos de otro operador y aumenta el blast radius. Alternativa B — Bridge: esquema por tenant en la misma base Descartada para la línea base. Mejora separación lógica, pero comparte motor, credenciales y recursos, por lo que no satisface el aislamiento físico verificable que exige RF-19 — solo Silo lo cumple sin depender de la corrección de la lógica de esquema. Alternativa C — Silo Elegida por alinearse con la confidencialidad B2B2B, contención de fallos y simplicidad conceptual de la fronter…</t>
  </si>
  <si>
    <t>Positivas: Aislamiento físico verificable entre operadores. Reduce el impacto de errores de consulta y facilita backup/restauración por cliente. Permite adaptar capacidad y mantenimiento por operador. El significado de empresaId queda correctamente limitado al cliente empresarial interno. Negativas: Aumenta la cantidad de recursos y operaciones de aprovisionamiento. Las migraciones deben ejecutarse de forma controlada sobre múltiples Silos. Puede elevar el costo si el despliegue por tenant no se automatiza.</t>
  </si>
  <si>
    <t>Separar entidades/recursos — cada operador obtiene persistencia y credenciales independientes. Limitar acceso — la resolución de tenant impide seleccionar recursos de otro Silo. Detección de fallos — la salud se supervisa por instancia/tenant para limitar el blast radius.</t>
  </si>
  <si>
    <t>OPLOG-SEG-02 — un operador no puede consultar servicios de otro tenant. ADM-SEG-02 — un administrador no puede modificar usuarios o recursos de otro tenant. RF-19 — aislamiento físico entre tenants. RF-20 — configuración independiente por tenant.</t>
  </si>
  <si>
    <t>desacoplar identidad mediante OIDC/OAuth2 y revocación controlada</t>
  </si>
  <si>
    <t>Proposed</t>
  </si>
  <si>
    <t>Seguridad; Interoperabilidad; Disponibilidad</t>
  </si>
  <si>
    <t>FlowRide tiene dos superficies de identidad: el Panel Web usado por Administrador del operador y Operador logístico, y WhatsApp usado por Pasajero y Conductor. La implementación previa generaba JWT propios con HMAC-SHA256 y usaba empresaId como claim de aislamiento, lo cual ya no coincide con el modelo Silo. El requisito vigente es autenticación segura basada en tokens, RBAC y capacidad de revocar acceso en un máximo de 60 segundos. La solución también debe evitar que la lógica de negocio dependa directamente de un proveedor concreto de identidad, de modo que este pueda sustituirse sin modificar el núcleo del dominio.</t>
  </si>
  <si>
    <t>Adoptar OpenID Connect (OIDC) / OAuth 2.0 como contrato estándar de identidad y autorización para los usuarios interactivos del Panel Web. La autenticación será delegada a un proveedor de identidad externo o autoalojado compatible con dichos estándares. FlowRide no administrará directamente la emisión principal de credenciales del Panel Web, sino que recibirá y validará los tokens emitidos por el proveedor seleccionado. Para evitar el acoplamiento entre el dominio y un proveedor específico, se implementará un IdentityProviderAdapter encargado de: Validar la información de identidad recibida desde el proveedor. Obtener el identificador extern…</t>
  </si>
  <si>
    <t>Alternativa A — JWT propio con HMAC-SHA256 Consiste en mantener un mecanismo de autenticación implementado directamente por FlowRide, donde el backend valida las credenciales del usuario y genera tokens JWT firmados mediante una clave simétrica usando HMAC-SHA256. Ventajas Implementación relativamente sencilla para un sistema pequeño. No depende de servicios externos de identidad. Permite controlar directamente la estructura de los claims y el tiempo de expiración de los tokens. No genera costos adicionales asociados a proveedores SaaS. Puede integrarse fácilmente con la infraestructura actual de ASP.NET Core. Desventajas FlowRide debe asumi…</t>
  </si>
  <si>
    <t>Positivas: El dominio no depende de la implementación concreta del proveedor. Facilita MFA, recuperación de credenciales y políticas de identidad sin reconstruirlas desde cero. Elimina el uso de empresaId como mecanismo de aislamiento. Permite reemplazar el proveedor manteniendo el contrato basado en OIDC/OAuth2. Reduce la responsabilidad directa de FlowRide… Negativas: Existe dependencia operativa del proveedor seleccionado. Es necesario mapear correctamente identidad externa, usuario interno, rol y tenant. La revocación en ≤60 s puede requerir mantener estado adicional. La validación del estado interno del usuario reduce el carácter completamente stateless de la autenticación. Una indisponibilidad del proveedor…</t>
  </si>
  <si>
    <t>Autenticar actores — validar la identidad antes de ejecutar acciones. Autorizar actores — aplicar RBAC y autorización contextual sobre los recursos. Revocar acceso — garantizar la invalidación del acceso dentro del umbral de 60 segundos. Abstraer plataforma — utilizar un adapter interno para evitar dependencia directa de un proveedor OIDC/OAuth2.</t>
  </si>
  <si>
    <t>ADM-SEG-01 — revocación de acceso ≤60 s. COND-SEG-01 — validación de identidad del conductor en WhatsApp. PAS-SEG-01 — limitación de exposición de solicitudes personales. RF-01 — autenticación basada en token. RF-02 — autorización basada en roles.</t>
  </si>
  <si>
    <t>Usar PostgreSQL con Npgsql como persistencia transaccional</t>
  </si>
  <si>
    <t>Confiabilidad; Rendimiento; Capacidad</t>
  </si>
  <si>
    <t>El núcleo de FlowRide es relacional y transaccional: usuarios, conductores, vehículos, itinerarios, solicitudes, asignaciones y viajes mantienen relaciones e invariantes fuertes. La implementación actual ya usa PostgreSQL y Npgsql y no existe un driver arquitectónico que justifique migrar el núcleo a otro modelo de persistencia. El aislamiento Silo significa que cada operador mantiene su propia persistencia, por lo que la operación de migraciones y conexiones debe ser repetible. FlowRide requiere mantener consistencia sobre operaciones relacionadas con: Conductores. Vehículos. Solicitudes. Asignaciones. Itinerarios. Viajes. Estados operacion…</t>
  </si>
  <si>
    <t>Usar PostgreSQL como motor relacional de cada Silo y Npgsql como proveedor principal de acceso desde .NET. Permitir SQL optimizado para consultas específicas cuando exista evidencia de rendimiento y sin saltarse los límites definidos entre aplicación, infraestructura y persistencia. Organizar datos operativos y auditoría en estructuras claramente separadas dentro del Silo. La telemetría se resuelve en ADR-0005 y puede utilizar particionamiento dentro del mismo motor. Las operaciones que modifiquen estados relacionados deberán utilizar transacciones cuando sea necesario preservar consistencia. El acceso a PostgreSQL deberá mantenerse encapsul…</t>
  </si>
  <si>
    <t>Alternativa A — SQL Server Utilizar Microsoft SQL Server como motor principal de persistencia relacional. Ventajas Motor relacional maduro. Soporte completo de transacciones ACID. Amplia integración con tecnologías Microsoft. Herramientas administrativas consolidadas. Buen soporte para concurrencia. Amplia documentación. Buen rendimiento para cargas transaccionales. Desventajas Puede introducir costos de licenciamiento. Requeriría migrar la implementación existente. Implicaría cambios de configuración y operación. No existe una ventaja arquitectónica necesaria frente a PostgreSQL. Reduce continuidad con el conocimiento actual del equipo. Dec…</t>
  </si>
  <si>
    <t>Positivas: Transacciones ACID para el núcleo. Integridad referencial. Continuidad con código y experiencia ya existentes. Control explícito de consultas SQL. Particionamiento disponible si el volumen lo exige. SQL avanzado disponible para consultas específicas. Integración directa con .NET mediante Npgsql. Adecuación al modelo Silo. Compatibilidad con Outbox… Negativas: Las consultas deben revisarse para evitar problemas de rendimiento. Las migraciones deben orquestarse por múltiples Silos. Existe dependencia del dialecto y capacidades de PostgreSQL en Infrastructure. El manejo directo de SQL puede generar código repetitivo. Se requiere administración cuidadosa de conexiones. El crecimiento del número de Silos au…</t>
  </si>
  <si>
    <t>Mantener consistencia — transacciones relacionales. Reducir overhead — índices y consultas optimizadas. Gestionar recursos — pooling y paginación.</t>
  </si>
  <si>
    <t>COND-CONF-02 — estado consistente de conductor. PAS-CONF-02 — estado confirmado de solicitud. ADM-CAP-02 — consultas paginadas e indexadas. RF transaccionales — persistencia del dominio operativo.</t>
  </si>
  <si>
    <t>Ingerir telemetría GPS mediante adapter y almacenarla particionada en PostgreSQL</t>
  </si>
  <si>
    <t>Interoperabilidad; Capacidad; Rendimiento; Confiabilidad</t>
  </si>
  <si>
    <t>La V1 de FlowRide incluye telemetría GPS para monitorear viajes en curso y detectar desviaciones respecto al ETA esperado. El dimensionamiento vigente considera al menos 100 eventos de ubicación por minuto por instancia, con hasta 50 vehículos o conductores reportando aproximadamente cada 30 segundos y una política de retención de 6 meses. La telemetría debe permitir identificar, como mínimo: Vehículo o conductor asociado. Viaje relacionado cuando aplique. Timestamp de origen. Timestamp de recepción. Latitud. Longitud. Fuente o proveedor. Calidad del dato. Estado de procesamiento. Los operadores de FlowRide pueden utilizar diferentes proveed…</t>
  </si>
  <si>
    <t>Se decide implementar la ingesta de telemetría GPS mediante una interfaz común denominada: text ITelemetryProviderAdapter Cada integración externa deberá implementar este contrato y será responsable de transformar el formato particular del proveedor al modelo interno de FlowRide. El modelo normalizado se representará mediante: text RegistroUbicacion conceptualmente con información como: text RegistroUbicacion Id VehiculoId ConductorId ViajeId TimestampOrigen TimestampRecepcion Latitud Longitud Calidad Fuente La estructura conceptual de integración será: text Proveedor GPS ↓ ITelemetryProviderAdapter ↓ Normalización ↓ RegistroUbicacion ↓ Vali…</t>
  </si>
  <si>
    <t>Alternativa A — Proveedor GPS fijo directamente en el dominio; Alternativa B — TimescaleDB desde V1; Alternativa C — Base NoSQL o de series temporales separada; Alternativa D — Adapter + PostgreSQL particionado; Alternativa E — Ingesta directa proveedor → PostgreSQL sin adapter; Alternativa F — Broker de mensajes entre proveedor y procesamiento; Alternativa G — Polling centralizado sin adapter</t>
  </si>
  <si>
    <t>Positivas: Proveedor GPS sustituible por tenant. El dominio no depende de APIs externas. No añade un motor adicional en V1. La retención de 6 meses puede gestionarse eficientemente por particiones. Permite correlacionar telemetría con viajes. Mantiene PostgreSQL como tecnología principal. Permite distinguir timestamp de origen y recepción. Facilita medir ret… Negativas: PostgreSQL puede requerir reevaluación si el volumen crece varios órdenes de magnitud. Los proveedores pueden entregar diferentes formatos. Las frecuencias de reporte pueden variar. La calidad de coordenadas puede variar. Los eventos pueden llegar retrasados. Pueden existir eventos duplicados. Se debe administrar creación y eliminación de particio…</t>
  </si>
  <si>
    <t>Adaptar interfaz Cada proveedor se transforma al contrato interno definido por: text ITelemetryProviderAdapter Esto evita que formatos externos se propaguen al dominio. Gestionar recursos Se utilizarán: Particionamiento temporal. Índices. Retención de seis meses. Eliminación automatizada. Consultas por ventana temporal. Detectar condiciones La información GPS permitirá detectar condiciones como: text ETA actualizado - ETA esperado 5 minutos y generar las alertas correspondientes. Aislar fallos…</t>
  </si>
  <si>
    <t>TEL-INTEROP-01 — ≥100 eventos/min y ≥99% de eventos válidos aceptados. PAS-CONF-01 — detectar desviación 5 min y alertar en &lt;60 s. RF-55 — ingesta de telemetría. RF-56 — detección de desviación de ETA. --</t>
  </si>
  <si>
    <t>Usar Cache-Aside local solo para datos de baja volatilidad</t>
  </si>
  <si>
    <t>Rendimiento; Confiabilidad</t>
  </si>
  <si>
    <t>FlowRide tiene lecturas repetidas de catálogos, configuración y reportes agregados, pero también datos que cambian continuamente: solicitudes, asignaciones, viajes y telemetría. El modelo Silo reduce la necesidad de una caché global compartida entre tenants. Una caché distribuida por defecto elevaría costo y operación. Una caché local puede mejorar lecturas sin convertirse en fuente de verdad siempre que su alcance esté restringido. No todos los datos tienen el mismo nivel de volatilidad. Existen datos relativamente estables como: Catálogos. Parámetros. Configuración. Datos de referencia. Indicadores agregados. Resultados de reportes. Tambié…</t>
  </si>
  <si>
    <t>Aplicar Cache-Aside utilizando caché local en proceso mediante IMemoryCache como optimización inicial de cada instancia Silo. La caché se utilizará exclusivamente para datos de baja volatilidad y lecturas donde sea aceptable una obsolescencia temporal acotada. La fuente de verdad continuará siendo PostgreSQL. La estrategia general será: text Solicitud de lectura ↓ Buscar en caché ↓ ↓ Existe No existe ↓ ↓ Retornar Consultar PostgreSQL ↓ Guardar temporalmente ↓ Retornar La caché no deberá utilizarse como fuente de verdad para: Solicitudes activas. Asignaciones. Viajes en curso. Disponibilidad crítica de conductores. Estado operacional sensible…</t>
  </si>
  <si>
    <t>Alternativa A — Sin caché No utilizar ninguna estrategia de caché y ejecutar todas las consultas directamente sobre PostgreSQL. Ventajas Máxima simplicidad. No existe riesgo de obsolescencia por caché. No requiere invalidación. No requiere administración de memoria adicional. PostgreSQL permanece como única fuente de lectura. Desventajas Mayor cantidad de consultas repetidas. Puede incrementar carga sobre PostgreSQL. Consultas agregadas costosas deben ejecutarse repetidamente. Mayor latencia para información que cambia poco. Puede desaprovechar oportunidades simples de optimización. Decisión Descartada como política absoluta. Algunas lectura…</t>
  </si>
  <si>
    <t>Positivas: Bajo costo operacional. Menos lecturas repetidas a PostgreSQL. No introduce infraestructura compartida que complique el modelo Silo. La caché puede eliminarse sin cambiar reglas de negocio. Acceso rápido a datos de baja volatilidad. Permite TTL adaptado a cada recurso. Mantiene PostgreSQL como fuente de verdad. Evita depender de caché para decisio… Negativas: Cada instancia mantiene su propia copia. Puede existir obsolescencia temporal hasta invalidación o expiración. Las entradas se pierden al reiniciar la aplicación. No sirve para coordinación. No sirve para locks distribuidos. No debe utilizarse para estado crítico. En múltiples instancias puede existir inconsistencia temporal. Requiere definir corr…</t>
  </si>
  <si>
    <t>Mantener múltiples copias La caché mantiene temporalmente copias de datos cuya fuente de verdad está en PostgreSQL. Gestionar recursos La caché reduce consultas repetidas y uso innecesario del motor de persistencia. Acotar tiempo de vida Cada entrada utiliza TTL para limitar el tiempo máximo de obsolescencia. Reducir overhead Las lecturas repetitivas pueden resolverse directamente en memoria sin acceder continuamente a PostgreSQL. Detectar condiciones Las métricas de hit rate, miss rate y laten…</t>
  </si>
  <si>
    <t>ADM-REND-01 — dashboard y reportes con caché opcional. ADM-CAP-02 — listados paginados e indexados. RF-42 — indicadores. RF-46 — reportes. RF-47 — reportes. RF-48 — reportes. RF-49 — reportes. --</t>
  </si>
  <si>
    <t>Usar concurrencia optimista y Transactional Outbox</t>
  </si>
  <si>
    <t>Confiabilidad; Disponibilidad; Rendimiento</t>
  </si>
  <si>
    <t>Asignar o reasignar un conductor modifica varias piezas del estado operativo: solicitud, conductor, vehículo, asignación, viaje y notificaciones. Bajo concurrencia pueden ocurrir dos intentos sobre el mismo recurso o una caída después de confirmar la transacción pero antes de publicar la notificación. La arquitectura necesita una única fuente de verdad transaccional sin convertir el sistema en un conjunto de locks globales.</t>
  </si>
  <si>
    <t>Usar transacciones PostgreSQL para cambios de estado del núcleo, concurrencia optimista sobre agregados susceptibles a edición concurrente y Transactional Outbox para publicar efectos asíncronos derivados de una transacción confirmada. La fila de asignación/estado incluirá un token de versión administrado por la capa de persistencia. Si dos operaciones compiten, solo una confirma; la otra recibe conflicto y debe reintentar o informar al operador. Los eventos externos —notificaciones, auditoría derivada, actualizaciones asíncronas— se escriben en la Outbox dentro de la misma transacción y un worker los procesa de forma idempotente.</t>
  </si>
  <si>
    <t>Alternativa A — Solo transacciones sin Outbox Descartada para efectos externos: puede existir la ventana 'commit exitoso + publicación perdida'. Alternativa B — Locks pesimistas generalizados Descartada como política por defecto por costo de contención y riesgo de bloqueos. Alternativa C — Optimistic locking sin Outbox Útil para concurrencia, insuficiente para publicación confiable. Alternativa D — Optimistic locking + Outbox Elegida porque separa control de concurrencia de entrega confiable de eventos.</t>
  </si>
  <si>
    <t>Positivas: Evita dobles asignaciones confirmadas. El estado transaccional permanece como fuente de verdad. Reduce pérdida de eventos después de un commit. Permite reintentar efectos externos sin repetir la transacción de negocio. Negativas: Añade tabla Outbox y un procesador en segundo plano. Los consumidores deben ser idempotentes. El operador puede ver un conflicto y tener que reintentar una reasignación legítima.</t>
  </si>
  <si>
    <t>Mantener consistencia de datos — una transacción protege el agregado. Controlar concurrencia — versionado optimista detecta escrituras competidoras. Recuperación de fallos — Outbox reintenta efectos derivados. Encolar — los eventos pendientes desacoplan el commit del envío externo.</t>
  </si>
  <si>
    <t>OPLOG-REND-01 — 0 dobles reasignaciones confirmadas. COND-CONF-02 — estado de disponibilidad consistente. PAS-CONF-02 — el pasajero ve el último estado confirmado. RF-09 / RF-10 / RF-12 / RF-34 — solicitud, asignación y cambios de estado.</t>
  </si>
  <si>
    <t>Integrar WhatsApp mediante Sandbox para el alcance académico y evolucionar a Meta Cloud API</t>
  </si>
  <si>
    <t>Interoperabilidad; Disponibilidad; Usabilidad - UX; Confiabilidad</t>
  </si>
  <si>
    <t>WhatsApp es el canal funcional definido para la interacción de Pasajeros y Conductores con FlowRide. A través de este canal se requiere soportar funcionalidades como: Recepción de solicitudes. Confirmaciones. Cambios de estado. Notificaciones. Interacciones conversacionales. Mensajes entrantes. Mensajes salientes. La integración con WhatsApp condiciona atributos como: Disponibilidad. Interoperabilidad. Seguridad. Costo. Lock-in. Manejo de errores. Reintentos. Idempotencia. Observabilidad. Administración de mensajes. Capacidad de evolución. Para una implementación productiva, la integración prevista para FlowRide es Meta Cloud API, evitando i…</t>
  </si>
  <si>
    <t>Para el alcance académico de FlowRide se utilizará un entorno Sandbox de WhatsApp como mecanismo de integración y prueba del canal. El Sandbox será utilizado exclusivamente como entorno de desarrollo, demostración y validación de la integración durante el curso. La arquitectura no dependerá directamente del Sandbox. La comunicación se encapsulará mediante un contrato interno: text IWhatsAppGateway y una implementación ubicada en Infrastructure: text WhatsAppSandboxAdapter La estructura para el alcance académico será: text Pasajero / Conductor de prueba ↓ WhatsApp Sandbox ↓ WhatsAppSandboxAdapter ↓ Application ↓ Domain La evolución prevista p…</t>
  </si>
  <si>
    <t>Alternativa A — Meta Cloud API directa desde el alcance académico; Alternativa B — Twilio Sandbox / BSP; Alternativa C — Callbell; Alternativa D — Sandbox para el alcance académico + Meta Cloud API a largo plazo; Alternativa E — Aplicación móvil propia; Alternativa F — SMS, Telegram o correo electrónico</t>
  </si>
  <si>
    <t>Positivas: Reduce la complejidad del alcance académico. Permite concentrarse en los drivers principales de FlowRide. Facilita demostraciones. Facilita pruebas. Mantiene Application independiente del proveedor. Mantiene Domain independiente del proveedor. Permite probar webhooks. Permite probar idempotencia. Permite probar correlación. Permite probar manejo d… Negativas: El Sandbox no representa completamente producción. La disponibilidad observada no representa un SLA real. Los límites de prueba pueden ser diferentes. El comportamiento de plantillas puede diferir. Será necesario implementar y validar el adapter de Meta posteriormente. Deberán repetirse pruebas de integración antes de producción. Los costos reales…</t>
  </si>
  <si>
    <t>Adaptar interfaz Se utiliza IWhatsAppGateway para evitar que el sistema dependa directamente del proveedor externo. Reducir acoplamiento Los tipos propios del Sandbox o de Meta permanecen exclusivamente en Infrastructure. Reemplazar componente La implementación: text WhatsAppSandboxAdapter podrá sustituirse por: text MetaCloudApiAdapter sin cambiar Application ni Domain. Reintentar Los errores transitorios podrán procesarse mediante reintentos con backoff. Encolar Los mensajes pendientes podrán…</t>
  </si>
  <si>
    <t>COND-DISP-01 — disponibilidad objetivo del canal en producción. PAS-DISP-01 — recepción confiable de solicitudes. PAS-DISP-03 — recuperación ante interrupciones transitorias. COND-ESC-01 — capacidad de absorber picos de mensajes. PAS-UX-01 — interacción sin aplicación móvil adicional. RF-14 — recepción de mensajes. RF-15 — procesamiento conversacional. RF-16 — confirmaciones. RF-17 — notificaciones. RF-18 — cambios y consulta de estados. Los requisitos de disponibilidad y capacidad productiva deberán validarse nuevamente al realizar la transic…</t>
  </si>
  <si>
    <t>ADR-0009</t>
  </si>
  <si>
    <t>Implementar el motor de asignación con reglas configurables y composición determinista</t>
  </si>
  <si>
    <t>Mantenibilidad; Confiabilidad; Rendimiento; Capacidad para ser auditado</t>
  </si>
  <si>
    <t>El principal valor diferencial de FlowRide es reemplazar la asignación manual que actualmente depende del conocimiento y criterio del administrador por un motor capaz de aplicar reglas programadas, configurables, explicables y auditables. La operación de FlowRide no corresponde a un modelo de ride-hailing como Uber o DiDi. Los servicios de transporte corporativo son programados previamente y la información de ubicación GPS se utiliza principalmente para monitoreo operativo, seguimiento y estimación de tiempos de llegada —ETA—, no para realizar reasignaciones dinámicas basadas únicamente en cercanía geográfica. El motor de asignación debe con…</t>
  </si>
  <si>
    <t>Implementar el motor de asignación como un componente interno del monolito modular utilizando reglas encapsuladas detrás de una interfaz común, siguiendo un enfoque de Strategy / Policy internas configurables con una composición determinista. Cada regla podrá realizar una o varias de las siguientes funciones: Filtrar candidatos. Validar restricciones. Asignar puntuaciones. Definir prioridades. Participar en el desempate. Las reglas estarán desacopladas entre sí y serán coordinadas por el motor de asignación. El orden y la precedencia de ejecución deberán estar explícitamente configurados y ser auditables. Una nueva regla no deberá requerir m…</t>
  </si>
  <si>
    <t>Alternativa A — Condicionales hardcodeados dentro del servicio de asignación; Alternativa B — Chain of Responsibility / Pipeline secuencial de reglas; Alternativa C — Tabla de decisión configurable; Alternativa D — Specification Pattern + función centralizada de scoring; Alternativa E — Motor de reglas externo o DSL; Alternativa F — Strategy / Policy internas configurables</t>
  </si>
  <si>
    <t>Positivas: Nuevas reglas pueden agregarse con impacto localizado. El motor mantiene bajo acoplamiento. Se aumenta la cohesión. Facilita pruebas unitarias. Permite auditoría. Permite trazabilidad. Permite configuración por tenant. Facilita la evolución futura. Permite resultados reproducibles. Mantiene las decisiones dentro del dominio. Evita incorporar infra… Negativas: Una composición incorrecta puede generar reglas contradictorias. Se requiere validación de configuración. Se requiere administración de precedencias. Deben evitarse ciclos. Puede aumentar la cantidad de clases. Se requiere organizar el catálogo de reglas. Se requiere persistencia para configuraciones. La edición dinámica necesita mecanismos adicio…</t>
  </si>
  <si>
    <t>Diferir binding La selección y orden de las reglas se realiza en tiempo de ejecución mediante configuración. Esto permite modificar: Reglas activas. Orden. Parámetros. Pesos. sin cambiar el algoritmo principal. Reducir acoplamiento Cada regla implementa un contrato común. Ejemplo: text IAssignmentRule El motor depende de la interfaz y no de implementaciones concretas. Aumentar cohesión La lógica de asignación permanece dentro del módulo correspondiente. Los controladores no contienen reglas de…</t>
  </si>
  <si>
    <t>OPLOG-CAP-01 — el motor sostiene picos operativos del tenant. RF-10 — asignación automática. RF-11 — aplicación de reglas de negocio. RF-13 — priorización de solicitudes críticas. RF-21 — configuración de reglas. --</t>
  </si>
  <si>
    <t>Desplegar un stack contenedorizado por operador, con imágenes versionadas e inmutables y un presupuesto explícito de disponibilidad y costo</t>
  </si>
  <si>
    <t>Disponibilidad; Escalabilidad; Capacidad; Aislamiento</t>
  </si>
  <si>
    <t>ADR-0002 define un stack completo por operador. Las restricciones vigentes son: SLA por tiers: canal WhatsApp y motor 99,5 %; Panel Web 99 %. (El objetivo inicial del canal era 99,9 %; la revisión del 22-09-2026 lo bajó a 99,5 % porque el ingreso de mensajes depende del stack del operador y ninguna decisión de este ADR lo hace más disponible que él. Ver el punto 4.) Costo de infraestructura básica: 20–40 USD/mes por tenant. Dimensionamiento: hasta 200 usuarios simultáneos y 100 eventos GPS/min por instancia. Retención: auditoría 5 años, GPS 6 meses (ADR-0011, ADR-0005). Traducido a tiempo de caída permitido en un mes de unas 730 h:; Tier; Ob…</t>
  </si>
  <si>
    <t>1. Unidad de despliegue Por cada operador, un stack: 1 contenedor de la aplicación (API + hosted services: outbox, recordatorios, retención); 1 base de datos PostgreSQL propia (ADR-0004); configuración y secretos propios (ADR-0014). Stateless: todo el estado vive en la base de datos o en el almacenamiento de objetos (ADR-0013). 2. Componentes de plataforma compartidos (sin datos operacionales) gateway y WAF de borde, más el router de webhooks (ADR-0012), con 2 réplicas; Keycloak con un realm por operador (ADR-0003); registro de contenedores (Azure Container Registry, tier Basic); backend de observabilidad (ADR-0011). Su costo se prorratea en…</t>
  </si>
  <si>
    <t>Criterio; Stack por operador en contenedores (elegida); A. VM/proceso manual; B. Kubernetes desde V1; C. Serverless completo; D. 2 réplicas + BD con HA para todos; ; Reproducibilidad; Alta (imagen inmutable); Baja; Alta; Alta; Alta; ; Cabe en 20–40 USD/tenant; Sí (≤32); Sí; No con clúster por tenant; con uno compartido, operación alta; Depende de la carga; No; ; Cumple 99,9 % en ingreso; Sí (borde con 2 réplicas + reintento de Meta); No; Sí; Sí; Sí; ; Cumple 99,5 % del motor; Sí, con reinicio automático (verificar reprogramación en fallo de host); Difícil; Sí; Parcial; Sí; ; Procesos persistentes (outbox); Sí; Sí; Sí; No; Sí; ; Carga operati…</t>
  </si>
  <si>
    <t>Positivas Despliegue reproducible por operador y rollback por etiqueta. El costo por tenant queda explícito y verificable contra la restricción. Los SLA quedan explicados por tier: qué se mide y cómo se protege. Negativas Con una réplica, un despliegue implica unos segundos de indisponibilidad del stack. Se despliega en ventana de baja demanda, fuera de la franja 03:00–05:00. El Escenario 12 de Drivers se ajusta a "≤60 s de indisponibilidad del stack; 0 mensajes de WhatsApp perdidos". La protección del canal depende de los reintentos de Meta (tradeoff T-04). El costo crece linealmente con los operadores; la plataforma compartida es un punto de fallo común (con 2 réplicas).</t>
  </si>
  <si>
    <t>Detectar fallos — health checks y heartbeat. Recuperar: reiniciar / reemplazar instancia — reinicio automático. Redundancia activa — solo en el borde (2 réplicas) y como opción contractual por operador. Incrementar recursos — segunda réplica o más cómputo por operador. Diferir binding — configuración y secretos inyectados al arrancar.</t>
  </si>
  <si>
    <t>ADM-DISP-01 — recuperación en la franja crítica. COND-DISP-01, PAS-DISP-01 — disponibilidad del canal. OPLOG-DISP-02 — tier del Panel Web. COND-ESC-01, OPLOG-CAP-01 — dimensionamiento por instancia. Escenario 12 (Desplegabilidad) de Drivers. RF-03, RF-53.</t>
  </si>
  <si>
    <t>adoptar OpenTelemetry y auditoría persistente por tenant</t>
  </si>
  <si>
    <t>Capacidad para ser auditado; Disponibilidad; Rendimiento</t>
  </si>
  <si>
    <t>FlowRide debe reconstruir el flujo de una solicitud desde su recepción hasta asignación, notificación y viaje, y además conservar evidencia de acciones administrativas sensibles. La observabilidad técnica y la auditoría legal persiguen objetivos distintos: logs/traces ayudan a diagnosticar el sistema; auditoría permite demostrar quién hizo qué. La auditoría legal se conserva 5 años. La telemetría GPS solo 6 meses. Mezclar ambas retenciones o enviar datos personales completos a logs técnicos aumentaría costo y riesgo.</t>
  </si>
  <si>
    <t>Instrumentar el backend con OpenTelemetry para trazas, métricas y logs correlacionados mediante traceId, tenantId, componente y resultado, evitando registrar secretos o datos personales innecesarios. Implementar un AuditService separado conceptualmente de los logs técnicos. Cada Silo conserva sus eventos de auditoría en estructuras persistentes propias, con retención de 5 años y campos mínimos: actor, acción, recurso, timestamp, resultado, motivo cuando aplique y valores relevantes antes/después cuando la trazabilidad lo requiera. La tecnología de backend de observabilidad puede cambiar sin afectar la instrumentación OTLP/OpenTelemetry.</t>
  </si>
  <si>
    <t>Alternativa A — Logs de texto sin estructura Descartada: dificulta correlación y métricas. Alternativa B — Usar logs técnicos como auditoría Descartada: retenciones, integridad y propósitos son distintos. Alternativa C — Proveedor propietario acoplado desde código Descartada como contrato; puede usarse como backend mediante exporter. Alternativa D — OpenTelemetry + AuditService persistente Elegida por separación de responsabilidades y portabilidad.</t>
  </si>
  <si>
    <t>Positivas: Correlación uniforme entre API, motor, WhatsApp y telemetría. Backend de observabilidad sustituible mediante exporters. Auditoría mantiene retención e integridad independientes de los logs. Facilita medir SLA y tiempos P95/P99. Negativas: Aumenta volumen de datos y requiere políticas de muestreo/retención. Instrumentación mal diseñada puede exponer información personal. Los eventos de auditoría añaden escritura y almacenamiento de largo plazo.</t>
  </si>
  <si>
    <t>Detectar fallos — métricas y health checks. Registrar eventos — logs/traces estructurados. Auditar — registro persistente e inmutable de acciones sensibles. Limitar exposición — redacción/minimización de datos sensibles.</t>
  </si>
  <si>
    <t>OPLOG-AUD-01 — auditoría de servicios. PAS-AUD-02 — auditoría de cancelaciones. OPLOG-AUD-02 — auditoría de intervención manual. PAS-AUD-03 — trazabilidad de calificación. RF-50 / RF-51 / RF-52 / RF-53 — eventos, errores, auditoría y disponibilidad.</t>
  </si>
  <si>
    <t>ADR-0012</t>
  </si>
  <si>
    <t>Exponer FlowRide a través de un borde común con API Gateway, WAF y router de webhooks (CDN opcional)</t>
  </si>
  <si>
    <t>Seguridad; Disponibilidad; Interoperabilidad; Aislamiento</t>
  </si>
  <si>
    <t>Con un stack por operador (ADR-0002, ADR-0010) hay N aplicaciones que exponer a Internet, y dos tipos de tráfico: Panel Web: navegadores de administradores y operadores logísticos, en el subdominio de cada operador. Webhooks de WhatsApp: llegan desde Meta con una URL de callback por app de Meta, así que todos los operadores comparten un único punto de entrada. El evento trae el phonenumberid del operador (ADR-0008). Además: la restricción técnica Seguridad de datos exige cifrado en tránsito y defensa en profundidad; los webhooks son un endpoint público que atacantes pueden sondear (Escenario 3); el canal debe sostener el tier de 99,9 % en el…</t>
  </si>
  <si>
    <t>Un borde común de plataforma, con 2 réplicas y sin estado ni datos operacionales, que concentra: 1. API Gateway / reverse proxy: terminación TLS con certificados gestionados; enrutamiento por subdominio ({operador}.flowride…) al stack correspondiente; límites de tasa por IP y por ruta; límites de tamaño de request; cabeceras de seguridad. Se implementa con un reverse proxy programable en .NET (YARP), para compartir stack tecnológico con el backend (restricción técnica Plataforma). Un gateway gestionado equivalente de la plataforma elegida es un sustituto válido. 2. Router de webhooks de WhatsApp, un módulo del mismo borde: responde el handsh…</t>
  </si>
  <si>
    <t>Criterio; Borde común con gateway + WAF + router (elegida); A. Exponer cada stack directamente; B. Gateway gestionado del proveedor cloud; C. Service mesh; D. Una app de Meta y un webhook por operador; ; Resuelve el callback único de Meta; Sí; No; Parcial (requiere lógica de firma y ruteo); No aplica; Sí, pero con N apps de Meta que gestionar; ; TLS/WAF/límites en un solo lugar; Sí; No (N veces); Sí; Solo tráfico interno; —; ; Costo por tenant; Bajo (prorrateado); Bajo, pero sin protección homogénea; Variable por solicitudes; Alto; —; ; Encaje con monolito por operador; Sí; Sí; Sí; No — orientado a microservicios; —; ; Datos operacionales en…</t>
  </si>
  <si>
    <t>Positivas Un único punto con TLS, WAF, límites de tasa y validación de firma. Los stacks del operador no quedan expuestos directamente a Internet. El canal alcanza el tier de 99,9 % en el ingreso con 2 réplicas compartidas (ADR-0010). Negativas Es un componente compartido y crítico: su caída afecta a todos los operadores. Se mitiga con 2 réplicas, health checks y despliegue controlado. La tabla de ruteo (subdominio / phonenumberid → stack) debe mantenerse sincronizada con el aprovisionamiento (RF-03). Añade un salto de red (latencia de pocos ms, dentro de los P95).</t>
  </si>
  <si>
    <t>Detectar ataques / limitar acceso — WAF y límites de tasa. Autenticar actores — firma HMAC de Meta. Limitar exposición — los stacks no son públicos. Redundancia activa — 2 réplicas del borde.</t>
  </si>
  <si>
    <t>Escenario 3 (Seguridad) y Escenario 7 (Interoperabilidad) de Drivers. COND-DISP-01, PAS-DISP-01 — ingreso del canal. OPLOG-SEG-02, ADM-SEG-02 — un subdominio lleva únicamente a su stack. RF-14, RF-19.</t>
  </si>
  <si>
    <t>ADR-0013</t>
  </si>
  <si>
    <t>Usar almacenamiento de objetos por operador para backups, archivo histórico, exportes y estáticos</t>
  </si>
  <si>
    <t>Disponibilidad; Capacidad para ser auditado; Aislamiento</t>
  </si>
  <si>
    <t>Varias necesidades no encajan en la base transaccional: Backups de la base de cada operador, con restauración independiente (ADR-0002, ADR-0010; RPO ≤15 min, RTO ≤2 h). Archivo de históricos operacionales y de auditoría a partir de los 24 meses, conservando la auditoría hasta 5 años (restricción Datos; ADR-0011). Exportes de reportes que el operador descarga (RF-46…RF-49). Documentos del conductor (soporte de licencia y habilitaciones, RF-26), si se cargan. Recursos estáticos del Panel Web (ADR-0012). Guardar archivos en el disco del contenedor los perdería al reemplazar la instancia (ADR-0010: stacks sin estado). Guardarlos en PostgreSQL ha…</t>
  </si>
  <si>
    <t>1. Usar Azure Blob Storage (tier Hot para lo reciente; Cool/Archive para el archivo histórico), accedido desde Infrastructure a través de IObjectStorage con el SDK Azure.Storage.Blobs. No es compatible con la API de S3 — se descarta esa abstracción porque el proveedor ya quedó fijado en Azure (ADR-0010) y mantenerla habría sido una capa de portabilidad que nadie va a usar. 2. Un bucket por operador, con credenciales de acceso exclusivas del stack del operador. En Azure el recurso equivalente es un blob container; este documento sigue llamándolo "bucket" para no confundirlo con los contenedores Docker del resto de los ADR. El cifrado en repos…</t>
  </si>
  <si>
    <t>Criterio; Objetos, un bucket por operador (elegida); A. Disco del contenedor/VM; B. Archivos en PostgreSQL (bytea); C. Bucket compartido con prefijo por operador; ; Sobrevive al reemplazo de instancia; Sí; No; Sí; Sí; ; Costo por GB; Bajo, con niveles fríos; Bajo; Alto (crecen la BD y los backups); Bajo; ; Aislamiento Silo; Sí (credencial por bucket); Sí; Sí; No — una credencial ve a todos; ; Ciclo de vida / retención inmutable; Sí; No; No; Sí; ; Restauración por operador; Sí; Manual; Sí; Sí</t>
  </si>
  <si>
    <t>Positivas Backups y archivo fuera de la instancia, con retención automatizada y bajo costo. Cumple las retenciones de 24 meses y 5 años sin inflar la base transaccional. El aislamiento por operador se mantiene también en archivos. Negativas Hay un bucket y unas credenciales más que aprovisionar por operador. Restaurar desde el nivel de archivo puede tardar horas; aplica solo al archivo histórico, no a los backups recientes. La supresión de datos personales abarca documents/ y exports/, que por eso no llevan retención inmutable. Los backups conservan copias hasta que expiran (35 días) y el archivo de auditoría no guarda datos personales en claro, porque ADR-0011 los sustituye por hashes ante…</t>
  </si>
  <si>
    <t>Recuperación: rollback / resincronización de estado — restauración desde backup. Separar entidades — un bucket por operador. Limitar exposición — URLs firmadas y buckets privados.</t>
  </si>
  <si>
    <t>ADM-DISP-01 — recuperación. OPLOG-AUD-01, PAS-AUD-02 — conservación de evidencia. RF-26, RF-46…RF-49.</t>
  </si>
  <si>
    <t>ADR-0014</t>
  </si>
  <si>
    <t>Gestionar secretos y claves en un gestor de secretos con un ámbito por operador</t>
  </si>
  <si>
    <t>Seguridad; Aislamiento; Capacidad para ser auditado</t>
  </si>
  <si>
    <t>Cada stack de operador necesita credenciales propias (ADR-0002): usuario y contraseña de su base; credenciales de su bucket (ADR-0013); access token de su número de WhatsApp (ADR-0008); claves de cifrado de datos sensibles. La plataforma compartida necesita las suyas: app secret y verify token de Meta para el router (ADR-0012); secretos de administración de Keycloak (ADR-0003); certificados TLS. Si una credencial de un operador se filtrara o se compartiera, el aislamiento Silo quedaría anulado. La restricción técnica Seguridad de datos exige protección según el riesgo. Además, los secretos no pueden vivir en el repositorio ni en la imagen (A…</t>
  </si>
  <si>
    <t>1. Usar Azure Key Vault, con: un Key Vault por operador, al que solo accede la identidad de carga de trabajo (managed identity) de su stack — ninguna otra identidad tiene permiso de lectura; un Key Vault de plataforma para el borde, Keycloak y el pipeline, con acceso restringido a esos componentes compartidos. 2. Los stacks leen sus secretos al arrancar, autenticándose con identidad de carga de trabajo (sin credenciales estáticas para acceder al gestor). Refrescan en caliente los que rotan (por ejemplo, el token de Meta). 3. Rotación: contraseñas de BD cada 90 días o ante un incidente; token de Meta según su vigencia; claves de cifrado versi…</t>
  </si>
  <si>
    <t>Criterio; Gestor de secretos con ámbito por operador (elegida); A. Variables de entorno en archivos de configuración; B. Secretos en la base de datos; C. Un único ámbito para todos los operadores; ; Fuera del repositorio y de la imagen; Sí; Riesgo alto de filtrarse; Sí; Sí; ; Aislamiento entre operadores; Sí; Depende de la disciplina; No (¿quién guarda la credencial de la BD?); No; ; Rotación y auditoría de acceso; Sí; No; Parcial; Sí; ; Costo; Bajo (~0,15–0,65 USD/mes por operador en Azure Key Vault); Nulo; Nulo; Bajo</t>
  </si>
  <si>
    <t>Positivas Una credencial del ámbito de operador comprometida afecta solo a ese operador. No ocurre lo mismo con el ámbito de plataforma (app secret de Meta, administración de Keycloak, certificados TLS): comprometer uno de esos afecta a todos, así que su rotación y su auditoría de acceso son más estrictas. Rotación sin redeplegar la imagen. Auditoría de quién leyó qué secreto. Negativas El gestor es una dependencia de arranque: si no está disponible, un stack no puede iniciar. Los stacks ya en ejecución siguen funcionando con los secretos cargados. El aprovisionamiento (RF-03) añade la creación del ámbito y los secretos del operador.</t>
  </si>
  <si>
    <t>Limitar acceso — cada stack solo alcanza su ámbito. Separar entidades — un ámbito de secretos por operador. Cifrar datos — en reposo y a nivel de campo. Revocar el acceso — rotación de credenciales y claves versionadas.</t>
  </si>
  <si>
    <t>OPLOG-SEG-02, ADM-SEG-02, COND-SEG-01; Escenario 3 de Drivers; RF-03, RF-19.</t>
  </si>
  <si>
    <t>ADR-0015</t>
  </si>
  <si>
    <t>Centralizar las notificaciones en un Notification Gateway (WhatsApp principal, correo administrativo, alertas en panel), sin omnicanalidad en V1</t>
  </si>
  <si>
    <t>Confiabilidad; Disponibilidad; Interoperabilidad; Usabilidad - UX</t>
  </si>
  <si>
    <t>Muchos módulos necesitan avisar a alguien: Operación: confirmaciones al pasajero (RF-16), asignación al conductor (RF-17), recordatorios (RF-35), cambios de estado y novedades (RF-43, RF-44). Monitoreo: alertas operativas al panel (RF-45) y alertas de desviación de ETA (RF-56). Identidad: correo para recuperar credenciales (RF-23), que lo envía Keycloak (ADR-0003). Además, WhatsApp impone reglas por mensaje: la ventana de 24 h y las plantillas aprobadas (ADR-0008). Si cada módulo llamara directamente a IWhatsAppGateway, esas reglas, junto con la idempotencia y los reintentos, se repetirían en todas partes. La restricción de negocio Operativa…</t>
  </si>
  <si>
    <t>1. Un módulo Notificaciones con un contrato de Application INotificationGateway.Send(NotificationRequest): NotificationRequest = destinatario (id interno), tipo de notificación, clave de mensaje (ADR-0016), variables y EventId. 2. El gateway resuelve canal y formato con una política por tipo de destinatario: Pasajero y Conductor → WhatsApp. Dentro de la ventana de 24 h envía un mensaje de sesión; fuera de ella, la plantilla asociada a la clave del mensaje. Administrador y Operador logístico → alerta en el Panel Web (canal de eventos dedicado del servidor, independiente del renderizado del mapa; OPLOG-DISP-02). Para alertas críticas se envía…</t>
  </si>
  <si>
    <t>Criterio; Gateway propio con política de canal (elegida); A. Cada módulo llama al canal directamente; B. Plataforma omnicanal externa (CPaaS); C. Omnicanalidad propia (WhatsApp + SMS + push + email); ; Reglas de ventana 24 h y plantillas en un solo lugar; Sí; No; Sí; Sí; ; Idempotencia y reintento centralizados; Sí; No; Parcial; Sí; ; Cumple la restricción de canal único; Sí; Sí; Excede lo necesario; No — contradice la restricción; ; Costo; Bajo; Bajo; Suscripción + margen por mensaje; Alto (desarrollo y proveedores); ; Añadir un canal en el futuro; Localizado; Disperso; Configuración; Ya incluido; A — descartada: duplica reglas y reintentos…</t>
  </si>
  <si>
    <t>Positivas Las reglas de Meta, la idempotencia y los reintentos se implementan una sola vez. Los módulos emisores solo expresan intención, no canal. Las alertas del panel no dependen de que cargue el mapa. Negativas Es un módulo más, y depende del catálogo de mensajes (ADR-0016). Las plantillas deben estar aprobadas antes de usarse; una plantilla rechazada bloquea ese tipo de notificación fuera de la ventana.</t>
  </si>
  <si>
    <t>Reducir acoplamiento / intermediario — los emisores no conocen el canal. Reintentar y encolar — sobre la outbox. Detectar fallos — métricas de entregas fallidas y alertas.</t>
  </si>
  <si>
    <t>PAS-CONF-01, PAS-DISP-03, COND-REND-01, OPLOG-DISP-02, COND-CONF-03. RF-16, RF-17, RF-35, RF-43, RF-44, RF-45, RF-56.</t>
  </si>
  <si>
    <t>ADR-0016</t>
  </si>
  <si>
    <t>Externalizar textos en un catálogo de mensajes (i18n) y la configuración en un catálogo de parámetros por operador</t>
  </si>
  <si>
    <t>Mantenibilidad; Usabilidad - UX; Confiabilidad</t>
  </si>
  <si>
    <t>Textos. FlowRide emite textos al usuario desde el bot de WhatsApp, las notificaciones, las plantillas de Meta y el Panel Web. Las plantillas de Meta se registran y aprueban por cuenta de WhatsApp Business. Como cada operador tiene su propio número y su propia cuenta (ADR-0002, ADR-0008), cada operador necesita su propio registro de plantillas aprobadas. V1 opera en español de Colombia, pero el producto no debe tener textos incrustados en el código. Parámetros. Hay valores operativos que cambian por operador y no deben requerir un despliegue: configuración de reglas y pesos del motor (RF-21; ADR-0009); umbral de desviación de ETA (5 min por d…</t>
  </si>
  <si>
    <t>Catálogo de mensajes (i18n) 1. Cada texto tiene una clave estable (asignacion.conductor.nueva), con traducciones por locale (es-CO por defecto) en archivos de recursos versionados en el repositorio, junto al código. 2. Para WhatsApp, cada clave que pueda enviarse fuera de la ventana de 24 h tiene un registro de plantilla (nombre, idioma, variables y estado de aprobación). El registro se guarda en la base de cada operador y se llena al aprovisionarlo, al someter las plantillas a su cuenta de WhatsApp Business. 3. El Notification Gateway (ADR-0015) usa la clave para elegir el texto de sesión o la plantilla. Si la plantilla del operador no está…</t>
  </si>
  <si>
    <t>Criterio; Recursos versionados + registro de plantillas + parámetros en BD del operador (elegida); A. Textos y valores en el código; B. Archivos de configuración por despliegue; C. Servicio externo de configuración / feature flags; ; Cambiar un parámetro sin desplegar; Sí; No; No (requiere reinicio/despliegue); Sí; ; Plantillas por cuenta de cada operador; Sí; No; Parcial; No resuelve plantillas; ; Auditoría de cambios; Sí; Vía Git; Vía Git; Depende; ; Respeta el Silo; Sí; —; Sí; No, si es compartido; ; Costo; Nulo; Nulo; Nulo; Suscripción o componente adicional</t>
  </si>
  <si>
    <t>Positivas Textos y plantillas consistentes entre el bot, las notificaciones y el panel. Los operadores ajustan su operación sin intervención del equipo. Preparado para otros idiomas. Negativas Hay que mantener sincronizadas las claves del código con las plantillas aprobadas en cada cuenta de Meta. Validar bien los parámetros es crítico: un valor extremo, como un umbral de ETA de 0 min, generaría ruido operativo. Por eso existen los rangos en código.</t>
  </si>
  <si>
    <t>Diferir binding — textos y parámetros en tiempo de ejecución. Localizar cambios — un texto o un umbral se cambia en un solo lugar. Validar entrada — rangos y tipos de los parámetros.</t>
  </si>
  <si>
    <t>PAS-UX-01, ADM-UX-02, PAS-CONF-01, PAS-SEG-01. RF-04, RF-20, RF-21, RF-35.</t>
  </si>
  <si>
    <t>ADR-0017</t>
  </si>
  <si>
    <t>Adoptar C# sobre .NET 10 como lenguaje y runtime del backend</t>
  </si>
  <si>
    <t>Rendimiento; Mantenibilidad; Capacidad; Interoperabilidad</t>
  </si>
  <si>
    <t>FlowRide se implementa como un monolito modular con límites internos explícitos (ADR-0001), desplegado como un stack contenedorizado por operador bajo el modelo Silo (ADR-0002, ADR-0010), con persistencia en PostgreSQL vía Npgsql (ADR-0004), identidad desacoplada mediante OIDC/OAuth2 (ADR-0003), un motor de asignación con reglas configurables (ADR-0009), integración con WhatsApp por webhooks (ADR-0008), ingesta de telemetría GPS (ADR-0005) y un borde común de plataforma (API Gateway + WAF, ADR-0012). El backend debe cumplir, entre otros: Rendimiento: P95 &lt; 500 ms y P99 &lt; 1,5 s para operaciones CRUD, con hasta 200 usuarios concurrentes por in…</t>
  </si>
  <si>
    <t>Adoptar C sobre .NET 10 como lenguaje y runtime único del backend de FlowRide, con ASP.NET Core como framework web para exponer la API REST, integrado con EF Core/Npgsql para el acceso a PostgreSQL (ADR-0004). El mismo stack (.NET) se reutiliza en el borde de plataforma mediante YARP como reverse proxy programable (ADR-0012), evitando introducir un segundo lenguaje/runtime solo para ese componente. La organización interna del código seguirá la separación por capas ya establecida (FlowRide.Domain, FlowRide.Application, FlowRide.Infrastructure, FlowRide.API), aprovechando el sistema de tipos estático de C para reforzar los límites entre capas…</t>
  </si>
  <si>
    <t>Criterio; .NET 10 / C (elegida); A. Node.js / TypeScript (NestJS); B. Java / Spring Boot; C. Python (Django / FastAPI); D. Go; ; Tipado estático fuerte (soporta DDD y límites entre capas); Sí; Parcial (TypeScript, erosionable en runtime); Sí; No (tipado dinámico; type hints no forzados); Sí, pero sin abstracciones de dominio ricas; ; Rendimiento asíncrono bajo concurrencia (P95/P99, 200 usuarios/instancia); Alto; Alto en I/O, limitado en CPU-bound (single-thread event loop); Alto; Medio-bajo (GIL limita CPU-bound; FastAPI mejora I/O); Muy alto; ; Integración nativa con PostgreSQL vía ORM maduro (EF Core, ADR-0004); Sí (Npgsql/EF Core); Parci…</t>
  </si>
  <si>
    <t>Positivas Un único stack tecnológico de punta a punta (backend, motor de asignación, adapters de integración y borde/gateway vía YARP), lo que reduce la superficie tecnológica total a operar y aprender. El tipado estático de C refuerza en tiempo de compilación los límites entre Domain, Application, Infrastructure y API definidos en ADR-0001. Integración nativa y madura con PostgreSQL/Npgsql (ADR-0004) y con el patrón Outbox/concurrencia optimista (ADR-0007), sin capas de traducción adicionales. Soporte async/await nativo adecuado para las cargas I/O-bound del sistema (webhooks de WhatsApp, ingesta de telemetría GPS) sin bloquear hilos. Aprovecha el conocimiento previo del equipo, reduciendo…</t>
  </si>
  <si>
    <t>Reducir acoplamiento / aumentar cohesión — tipado estático que refuerza la separación por capas del monolito modular. Mantener la integridad de la interfaz — contratos explícitos entre capas y con los adapters, verificados en tiempo de compilación. Introducir concurrencia — soporte async/await nativo para operaciones I/O-bound (webhooks, telemetría, consultas concurrentes). Encapsular variación — un runtime único facilita aplicar Strategy/Policy en el motor de asignación (ADR-0009) sin fricción…</t>
  </si>
  <si>
    <t>Escenario 1 (Rendimiento) y Escenario 5 (Mantenibilidad) de Drivers. RF-01 a RF-56 — transversal: todos los requisitos funcionales dependen del backend.</t>
  </si>
  <si>
    <t>Building Blocks — componentes/servicios conceptuales de FlowRide</t>
  </si>
  <si>
    <t>Nombre</t>
  </si>
  <si>
    <t>Servicio que ofrece</t>
  </si>
  <si>
    <t>Tecnología / patrón permitido</t>
  </si>
  <si>
    <t>Consumido por (RF / Escenarios)</t>
  </si>
  <si>
    <t>Identity &amp; Access Adapter</t>
  </si>
  <si>
    <t>Autenticar usuarios, validar autorización por roles y desacoplar FlowRide del proveedor concreto de identidad.</t>
  </si>
  <si>
    <t>OIDC/OAuth2 + IdentityProviderAdapter + RBAC + validación del estado interno del usuario + revocación ≤ 60 s. El proveedor de identidad debe permanecer sustituible.</t>
  </si>
  <si>
    <t>RF-01, RF-02, RF-06, RF-25; ADM-SEG-01, COND-SEG-01, PAS-SEG-01</t>
  </si>
  <si>
    <t>Tenant Provisioning / Silo Resolver</t>
  </si>
  <si>
    <t>Aprovisionar y resolver el entorno y las persistencias físicamente aisladas de cada operador.</t>
  </si>
  <si>
    <t>Modelo Silo; resolución de tenant; automatización de aprovisionamiento, routing, migraciones y backups por operador.</t>
  </si>
  <si>
    <t>RF-03, RF-19, RF-20; OPLOG-SEG-02, ADM-SEG-02; escenarios de Aislamiento y Escalabilidad</t>
  </si>
  <si>
    <t>Motor de Asignación</t>
  </si>
  <si>
    <t>Evaluar conductores y vehículos disponibles y producir una asignación aplicando reglas configurables del operador.</t>
  </si>
  <si>
    <t>Reglas/Policies internas configurables; criterios eliminatorios, prioridad, scoring y desempate; composición determinista y auditable.</t>
  </si>
  <si>
    <t>RF-10, RF-11, RF-13, RF-21; escenarios de Confiabilidad, Rendimiento y Mantenibilidad asociados al motor</t>
  </si>
  <si>
    <t>WhatsApp Business Adapter</t>
  </si>
  <si>
    <t>Recibir y enviar mensajes de pasajero y conductor sin acoplar el dominio al proveedor técnico del canal.</t>
  </si>
  <si>
    <t>IWhatsAppGateway + adaptador del proveedor; validación de webhook, normalización, correlación, idempotencia, reintentos y recuperación.</t>
  </si>
  <si>
    <t>RF-14 a RF-18, RF-35; PAS-UX-01, COND-DISP-01, PAS-DISP-03; escenarios de Interoperabilidad</t>
  </si>
  <si>
    <t>Telemetry Ingestion</t>
  </si>
  <si>
    <t>Recibir, validar, normalizar y asociar eventos de ubicación con tenant, vehículo y viaje.</t>
  </si>
  <si>
    <t>ITelemetryProviderAdapter + normalización a RegistroUbicacion + validación + deduplicación + persistencia preparada para series temporales.</t>
  </si>
  <si>
    <t>RF-55; OPLOG-INTEROP-04; escenarios de Capacidad e Interoperabilidad relacionados con telemetría</t>
  </si>
  <si>
    <t>ETA Deviation Detector</t>
  </si>
  <si>
    <t>Detectar desviaciones relevantes del ETA durante viajes en curso y generar eventos o alertas operativas.</t>
  </si>
  <si>
    <t>Procesamiento de telemetría + reglas de umbral configuradas; no realiza reasignación dinámica por cercanía.</t>
  </si>
  <si>
    <t>RF-56; PAS-CONF-01; escenarios de Confiabilidad vinculados al ETA</t>
  </si>
  <si>
    <t>Consistency / Event Publication</t>
  </si>
  <si>
    <t>Preservar cambios de estado coherentes y publicar eventos de manera confiable ante concurrencia, fallos y reintentos.</t>
  </si>
  <si>
    <t>Transacciones PostgreSQL + Optimistic Locking mediante token de versión + restricciones de unicidad + Transactional Outbox + procesamiento idempotente.</t>
  </si>
  <si>
    <t>RF-09, RF-10, RF-12, RF-34; COND-CONF-02, PAS-CONF-02; escenarios de Confiabilidad</t>
  </si>
  <si>
    <t>Cache Abstraction</t>
  </si>
  <si>
    <t>Reducir latencia en lecturas de baja volatilidad sin convertir la caché en fuente de verdad.</t>
  </si>
  <si>
    <t>Cache-Aside mediante IMemoryCache; TTL explícito; invalidación posterior a commit; PostgreSQL permanece como fuente de verdad.</t>
  </si>
  <si>
    <t>ADM-REND-01, ADM-CAP-02; escenarios de Rendimiento</t>
  </si>
  <si>
    <t>Audit &amp; Trace Service</t>
  </si>
  <si>
    <t>Registrar acciones sensibles y permitir reconstruir eventos relevantes de la operación por tenant.</t>
  </si>
  <si>
    <t>Auditoría persistente por Silo e independiente de logs técnicos: actor, acción, recurso, timestamp, resultado, motivo y cambios relevantes; minimización de datos y retención definida.</t>
  </si>
  <si>
    <t>RF-40, RF-52; OPLOG-AUD-01, OPLOG-AUD-02, PAS-AUD-02, PAS-AUD-03; escenarios de Capacidad para ser auditado</t>
  </si>
  <si>
    <t>Observability Stack</t>
  </si>
  <si>
    <t>Recolectar logs técnicos, métricas, trazas, correlación y health checks para diagnóstico y operación.</t>
  </si>
  <si>
    <t>OpenTelemetry para logs, métricas y trazas; exportación OTLP a backend sustituible; health checks y métricas operacionales. No sustituye la auditoría funcional.</t>
  </si>
  <si>
    <t>RF-50, RF-51, RF-53; soporte transversal a Disponibilidad, Rendimiento y diagnóstico operacional</t>
  </si>
  <si>
    <t>Persistence Adapter</t>
  </si>
  <si>
    <t>Proveer persistencia transaccional y acceso a datos del Silo manteniendo la infraestructura desacoplada del dominio.</t>
  </si>
  <si>
    <t>PostgreSQL + capa Infrastructure de .NET/EF Core; transacciones, restricciones e índices; consultas optimizadas cuando exista evidencia de necesidad.</t>
  </si>
  <si>
    <t>Usuarios, solicitudes, itinerarios, asignaciones, viajes, motor de asignación, auditoría y demás módulos que requieran persistencia transaccional del tenant</t>
  </si>
  <si>
    <t>Silo Runtime / Deployment</t>
  </si>
  <si>
    <t>Ejecutar, configurar, desplegar y recuperar la instancia correspondiente a cada operador.</t>
  </si>
  <si>
    <t>Contenedores + configuración y secretos por tenant + health checks + reinicio automático; réplicas adicionales únicamente cuando SLA o carga lo justifiquen.</t>
  </si>
  <si>
    <t>FlowRide API, módulos del monolito, adaptadores de Identidad, WhatsApp y Telemetría, workers, auditoría y observabilidad de cada tenant; escenarios de Disponibilidad y Escalabilidad</t>
  </si>
  <si>
    <t>FlowRide Modular Monolith</t>
  </si>
  <si>
    <t>Alojar la lógica de negocio y casos de uso de FlowRide en una única unidad desplegable con límites internos claros.</t>
  </si>
  <si>
    <t>ASP.NET Core/.NET + separación Domain / Application / Infrastructure / API; dependencias dirigidas hacia el dominio y contratos explícitos para infraestructura e integraciones.</t>
  </si>
  <si>
    <t>Todos los casos de uso de FlowRide; especialmente escenarios de Mantenibilidad, Rendimiento y Confiabilidad</t>
  </si>
  <si>
    <t>PoC y Spikes — validación temprana de riesgos arquitectónicos de FlowRide</t>
  </si>
  <si>
    <t>Tipo</t>
  </si>
  <si>
    <t>Objetivo (qué se valida)</t>
  </si>
  <si>
    <t>Alcance del experimento</t>
  </si>
  <si>
    <t>Criterio de éxito</t>
  </si>
  <si>
    <t>Criterio de fracaso / cuándo replantear</t>
  </si>
  <si>
    <t>QA principal</t>
  </si>
  <si>
    <t>Building Block relacionado</t>
  </si>
  <si>
    <t>Por qué vale la pena validar temprano</t>
  </si>
  <si>
    <t>PoC</t>
  </si>
  <si>
    <t>Motor de reglas con conflictos</t>
  </si>
  <si>
    <t>Validar que el motor de asignación compone reglas configurables de forma determinista, repetible y explicable.</t>
  </si>
  <si>
    <t>Implementación mínima en .NET con datos en memoria. Probar disponibilidad, compatibilidad de turno, capacidad, prioridad, balance de carga y desempate; incluir casos donde varias reglas compitan.</t>
  </si>
  <si>
    <t>100 % de los casos definidos producen el mismo resultado al repetirse; ninguna regla eliminatoria es ignorada; cada decisión devuelve una explicación de reglas aplicadas, descartes y desempate.</t>
  </si>
  <si>
    <t>Resultados distintos con la misma entrada, reglas cuyo orden cambia el resultado sin estar definido, o imposibilidad de explicar por qué fue seleccionado/descartado un conductor.</t>
  </si>
  <si>
    <t>Confiabilidad / Mantenibilidad</t>
  </si>
  <si>
    <t>Es barato de construir, no depende de servicios externos y valida una pieza central de la lógica operativa antes de agregar infraestructura.</t>
  </si>
  <si>
    <t>Recomendado para implementar primero</t>
  </si>
  <si>
    <t>Spike</t>
  </si>
  <si>
    <t>Consistencia bajo concurrencia</t>
  </si>
  <si>
    <t>Validar que concurrencia optimista, transacciones PostgreSQL y Transactional Outbox evitan dobles asignaciones y publicación inconsistente.</t>
  </si>
  <si>
    <t>Ejecutar solicitudes concurrentes de asignación y cambios de disponibilidad sobre un conjunto controlado usando PostgreSQL.</t>
  </si>
  <si>
    <t>0 dobles asignaciones confirmadas; estado final consistente; eventos Outbox coherentes; latencia dentro de los objetivos aplicables.</t>
  </si>
  <si>
    <t>Aparecen dobles asignaciones, estados incompatibles, eventos perdidos/duplicados no controlados o el costo de concurrencia impide cumplir los objetivos de rendimiento.</t>
  </si>
  <si>
    <t>Confiabilidad / Rendimiento</t>
  </si>
  <si>
    <t>La consistencia debe validarse antes de apoyar más reglas y flujos críticos sobre el motor.</t>
  </si>
  <si>
    <t>Pendiente</t>
  </si>
  <si>
    <t>Aprovisionamiento y aislamiento Silo</t>
  </si>
  <si>
    <t>Validar que dos tenants no comparten persistencia ni credenciales y que el aprovisionamiento es repetible.</t>
  </si>
  <si>
    <t>Crear dos tenants ficticios con conexiones separadas; probar routing, migraciones, credenciales, backup básico e intentos de acceso cruzado.</t>
  </si>
  <si>
    <t>0 lecturas/escrituras cross-tenant; cada tenant utiliza su propia persistencia y credenciales; aprovisionamiento repetible mediante un procedimiento automatizable.</t>
  </si>
  <si>
    <t>Cualquier cruce de datos/credenciales o un proceso de aprovisionamiento no reproducible obliga a replantear el mecanismo.</t>
  </si>
  <si>
    <t>Aislamiento / Escalabilidad</t>
  </si>
  <si>
    <t>Un fallo de aislamiento compromete privacidad y el modelo SaaS Silo; conviene demostrarlo antes de escalar tenants.</t>
  </si>
  <si>
    <t>Webhook WhatsApp Business desacoplado</t>
  </si>
  <si>
    <t>Validar recepción, autenticidad, idempotencia y normalización de mensajes sin acoplar el dominio al proveedor.</t>
  </si>
  <si>
    <t>Adaptador mínimo que recibe webhooks de prueba, valida la petición, normaliza el mensaje a un contrato interno y ejecuta ACK/eco controlado.</t>
  </si>
  <si>
    <t>100 % de mensajes válidos de prueba son normalizados; duplicados no generan procesamiento funcional duplicado; el dominio no referencia DTO ni SDK específico del proveedor.</t>
  </si>
  <si>
    <t>Mensajes válidos se pierden/duplican o detalles del proveedor atraviesan el adaptador y contaminan Application/Domain.</t>
  </si>
  <si>
    <t>Interoperabilidad / Disponibilidad</t>
  </si>
  <si>
    <t>La integración es crítica, pero puede dejarse después del motor porque requiere configurar el proveedor o simular correctamente su contrato.</t>
  </si>
  <si>
    <t>Ingesta de telemetría GPS</t>
  </si>
  <si>
    <t>Validar throughput, normalización, deduplicación y persistencia de telemetría sobre PostgreSQL.</t>
  </si>
  <si>
    <t>Generar ≥100 eventos/min con eventos válidos, duplicados, fuera de orden e inválidos; normalizar y persistir RegistroUbicacion.</t>
  </si>
  <si>
    <t>Throughput sostenido ≥100 eventos/min; ≥99 % de eventos válidos aceptados; duplicados controlados y errores inválidos aislados sin detener la ingesta.</t>
  </si>
  <si>
    <t>Backlog creciente, pérdida relevante de eventos válidos o persistencia incapaz de sostener el volumen previsto.</t>
  </si>
  <si>
    <t>Capacidad / Interoperabilidad</t>
  </si>
  <si>
    <t>La telemetría entra en V1 y afecta volumen y almacenamiento; medir evita decidir solo por intuición.</t>
  </si>
  <si>
    <t>Detección de desviación ETA</t>
  </si>
  <si>
    <t>Validar que la lógica identifica retrasos relevantes sin generar alertas excesivas.</t>
  </si>
  <si>
    <t>Usar secuencias GPS simuladas de trayectos normales, retrasados y con ruido; comparar ETA esperado con progreso observado.</t>
  </si>
  <si>
    <t>Desviaciones &gt;5 min son detectadas y generan evento en &lt;60 s en los casos de prueba; las secuencias normales no producen alertas injustificadas.</t>
  </si>
  <si>
    <t>Falsos positivos frecuentes, retrasos no detectados o dependencia de datos que la fuente de telemetría no puede entregar.</t>
  </si>
  <si>
    <t>Permite validar el valor real de la telemetría antes de comprometer una promesa operacional de alertas de ETA.</t>
  </si>
  <si>
    <t>Táctica (familia)</t>
  </si>
  <si>
    <t>Atributo principal</t>
  </si>
  <si>
    <t># escenarios seleccionados</t>
  </si>
  <si>
    <t>Códigos de escenario</t>
  </si>
  <si>
    <t>Nota vigente</t>
  </si>
  <si>
    <t>Autenticar / autorizar / revocar acceso</t>
  </si>
  <si>
    <t>ADM-SEG-01, COND-SEG-01, PAS-SEG-01</t>
  </si>
  <si>
    <t>RBAC, identidad y privacidad se resuelven sin usar empresaId como frontera de tenant; la revocación ≤60 s se formaliza en ADR-0003</t>
  </si>
  <si>
    <t>Separar recursos / limitar acceso por Silo</t>
  </si>
  <si>
    <t>Seguridad / Aislamiento</t>
  </si>
  <si>
    <t>El aislamiento cross-tenant es físico por operador; el riesgo principal pasa a provisioning/routing/credenciales, no a olvidar un filtro EF.</t>
  </si>
  <si>
    <t>Encolar / desacoplar recepción de procesamiento</t>
  </si>
  <si>
    <t>Disponibilidad / Escalabilidad</t>
  </si>
  <si>
    <t>PAS-DISP-01, COND-ESC-01, PAS-DISP-03</t>
  </si>
  <si>
    <t>Permite recibir trabajo rápidamente y absorber picos o fallos transitorios sin perder solicitudes/mensajes.</t>
  </si>
  <si>
    <t>Detectar fallos / recuperar servicio</t>
  </si>
  <si>
    <t>COND-DISP-01, OPLOG-DISP-02, ADM-DISP-01</t>
  </si>
  <si>
    <t>Se aplica según SLA por tiers: 99,9% canal, 99,5% motor, 99% panel.</t>
  </si>
  <si>
    <t>Controlar concurrencia / mantener consistencia</t>
  </si>
  <si>
    <t>ADR-0007 establece transacciones PostgreSQL, concurrencia optimista y Transactional Outbox para prevenir dobles asignaciones y estados parciales</t>
  </si>
  <si>
    <t>Cachear datos de baja volatilidad</t>
  </si>
  <si>
    <t>Rendimiento / Capacidad</t>
  </si>
  <si>
    <t>ADR-0006 establece Cache-Aside mediante IMemoryCache para datos de baja volatilidad; PostgreSQL permanece como fuente de verdad</t>
  </si>
  <si>
    <t>Reducir overhead / procesamiento liviano</t>
  </si>
  <si>
    <t>COND-REND-01, PAS-REND-02</t>
  </si>
  <si>
    <t>Optimiza comandos/consultas sin comprometer consistencia.</t>
  </si>
  <si>
    <t>Auditar / registro trazable</t>
  </si>
  <si>
    <t>Auditabilidad</t>
  </si>
  <si>
    <t>Auditoría legal 5 años y trazabilidad de acciones/calificaciones con minimización de datos.</t>
  </si>
  <si>
    <t>Soportar iniciativa del usuario/sistema</t>
  </si>
  <si>
    <t>Usabilidad / Accesibilidad</t>
  </si>
  <si>
    <t>OPLOG-ACC-01, OPLOG-ACC-02, ADM-ACC-01, OPLOG-UX-02, ADM-UX-02</t>
  </si>
  <si>
    <t>Atajos, ayudas y codificación redundante mantienen el Panel Web operable y accesible.</t>
  </si>
  <si>
    <t>Flujo conversacional guiado</t>
  </si>
  <si>
    <t>Usabilidad</t>
  </si>
  <si>
    <t>WhatsApp reduce fricción y evita app móvil nativa.</t>
  </si>
  <si>
    <t>Adaptar interfaz externa</t>
  </si>
  <si>
    <t>La telemetría se normaliza detrás de un adaptador; proveedor y protocolo se formalizan en ADR-0005.</t>
  </si>
  <si>
    <t>Detectar desviación y notificar proactivamente</t>
  </si>
  <si>
    <t>GPS se usa para monitoreo/ETA, no para reasignación dinámica por cercanía.</t>
  </si>
  <si>
    <t>El usuario no debe perder identidad por cambiar de equipo físico.</t>
  </si>
  <si>
    <t>Gestionar recursos / escalado por instancia</t>
  </si>
  <si>
    <t>Capacidad / Escalabilidad</t>
  </si>
  <si>
    <t>Dimensionamiento por tenant con techo de 200 usuarios simultáneos por instancia y hasta 50 conductores.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</si>
</sst>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Aptos Narrow"/>
    </font>
    <font>
      <b/>
      <sz val="11"/>
      <color theme="1"/>
      <name val="Aptos Narrow"/>
    </font>
    <font>
      <b/>
      <sz val="11"/>
      <color rgb="FF000000"/>
      <name val="Aptos Narrow"/>
    </font>
    <font>
      <b/>
      <sz val="16"/>
      <color rgb="FF1F4E78"/>
      <name val="Aptos Narrow"/>
    </font>
    <font>
      <b/>
      <sz val="11"/>
      <color rgb="FFFFFFFF"/>
      <name val="Aptos Narrow"/>
    </font>
    <font>
      <b/>
      <sz val="12"/>
      <name val="Aptos Narrow"/>
    </font>
    <font>
      <b/>
      <sz val="11"/>
      <color rgb="FFC00000"/>
      <name val="Aptos Narrow"/>
    </font>
    <font>
      <b/>
      <sz val="11"/>
      <name val="Aptos Narrow"/>
    </font>
    <font>
      <sz val="11"/>
      <name val="Aptos Narrow"/>
    </font>
    <font>
      <i/>
      <sz val="11"/>
      <name val="Aptos Narrow"/>
    </font>
    <font>
      <b/>
      <sz val="11"/>
      <color rgb="FF404040"/>
      <name val="Aptos Narrow"/>
    </font>
    <font>
      <sz val="11"/>
      <color rgb="FF808080"/>
      <name val="Aptos Narrow"/>
    </font>
    <font>
      <b/>
      <sz val="14"/>
      <color rgb="FF1F4E78"/>
      <name val="Aptos Narrow"/>
    </font>
    <font>
      <sz val="11"/>
      <color rgb="FF000000"/>
      <name val="Aptos Narrow"/>
    </font>
    <font>
      <b/>
      <sz val="12"/>
      <color rgb="FFFFFFFF"/>
      <name val="Aptos Narrow"/>
    </font>
    <font>
      <b/>
      <sz val="11"/>
      <color rgb="FF006100"/>
      <name val="Aptos Narrow"/>
    </font>
    <font>
      <b/>
      <sz val="13"/>
      <color rgb="FFFFFFFF"/>
      <name val="Aptos Narrow"/>
    </font>
    <font>
      <b/>
      <sz val="14"/>
      <name val="Aptos Narrow"/>
    </font>
    <font>
      <i/>
      <sz val="10"/>
      <color rgb="FF595959"/>
      <name val="Aptos Narrow"/>
    </font>
    <font>
      <b/>
      <sz val="11"/>
      <color rgb="FFFFFFFF"/>
      <name val="Cambria"/>
    </font>
    <font>
      <b/>
      <sz val="11"/>
      <color rgb="FF1F4E78"/>
      <name val="Aptos Narrow"/>
    </font>
    <font>
      <sz val="10"/>
      <color rgb="FF595959"/>
      <name val="Aptos Narrow"/>
    </font>
    <font>
      <b/>
      <sz val="11"/>
      <color rgb="FFFFFFFF"/>
      <name val="Aptos Narrow"/>
      <charset val="1"/>
    </font>
    <font>
      <b/>
      <sz val="11"/>
      <color rgb="FF000000"/>
      <name val="Aptos Narrow"/>
      <charset val="1"/>
    </font>
    <font>
      <sz val="11"/>
      <color rgb="FF000000"/>
      <name val="Aptos Narrow"/>
      <charset val="1"/>
    </font>
    <font>
      <sz val="11"/>
      <color rgb="FF000000"/>
      <name val="Calibri"/>
    </font>
    <font>
      <sz val="11"/>
      <name val="Carlito"/>
    </font>
    <font>
      <sz val="11"/>
      <color rgb="FFFFFFFF"/>
      <name val="Calibri Light"/>
      <scheme val="major"/>
    </font>
    <font>
      <sz val="11"/>
      <name val="Calibri Light"/>
      <scheme val="major"/>
    </font>
    <font>
      <sz val="11"/>
      <color rgb="FF375623"/>
      <name val="Calibri Light"/>
      <scheme val="major"/>
    </font>
    <font>
      <sz val="11"/>
      <color rgb="FF7F6000"/>
      <name val="Calibri Light"/>
      <scheme val="major"/>
    </font>
    <font>
      <b/>
      <sz val="14"/>
      <color rgb="FFFFFFFF"/>
      <name val="Calibri"/>
      <scheme val="minor"/>
    </font>
    <font>
      <sz val="11"/>
      <name val="Calibri"/>
      <scheme val="minor"/>
    </font>
    <font>
      <b/>
      <sz val="11"/>
      <color rgb="FFFFFFFF"/>
      <name val="Calibri"/>
      <scheme val="minor"/>
    </font>
    <font>
      <sz val="14"/>
      <color rgb="FFFFFFFF"/>
      <name val="Calibri"/>
      <scheme val="minor"/>
    </font>
    <font>
      <sz val="11"/>
      <color rgb="FFFFFFFF"/>
      <name val="Calibri"/>
      <scheme val="minor"/>
    </font>
  </fonts>
  <fills count="32">
    <fill>
      <patternFill patternType="none"/>
    </fill>
    <fill>
      <patternFill patternType="gray125"/>
    </fill>
    <fill>
      <patternFill patternType="solid">
        <fgColor theme="2" tint="-0.249977111117893"/>
        <bgColor indexed="65"/>
      </patternFill>
    </fill>
    <fill>
      <patternFill patternType="solid">
        <fgColor theme="8" tint="0.59996337778862885"/>
        <bgColor indexed="65"/>
      </patternFill>
    </fill>
    <fill>
      <patternFill patternType="solid">
        <fgColor theme="3" tint="0.749961851863155"/>
        <bgColor indexed="65"/>
      </patternFill>
    </fill>
    <fill>
      <patternFill patternType="solid">
        <fgColor theme="5" tint="0.59996337778862885"/>
        <bgColor indexed="65"/>
      </patternFill>
    </fill>
    <fill>
      <patternFill patternType="solid">
        <fgColor theme="9" tint="0.59996337778862885"/>
        <bgColor indexed="65"/>
      </patternFill>
    </fill>
    <fill>
      <patternFill patternType="solid">
        <fgColor theme="4" tint="0.39997558519241921"/>
        <bgColor indexed="65"/>
      </patternFill>
    </fill>
    <fill>
      <patternFill patternType="solid">
        <fgColor theme="6" tint="0.79995117038483843"/>
        <bgColor indexed="65"/>
      </patternFill>
    </fill>
    <fill>
      <patternFill patternType="solid">
        <fgColor rgb="FFD9EAD3"/>
      </patternFill>
    </fill>
    <fill>
      <patternFill patternType="solid">
        <fgColor rgb="FFB6D7A8"/>
      </patternFill>
    </fill>
    <fill>
      <patternFill patternType="solid">
        <fgColor rgb="FFD9E2F3"/>
      </patternFill>
    </fill>
    <fill>
      <patternFill patternType="solid">
        <fgColor rgb="FFEAEAEA"/>
      </patternFill>
    </fill>
    <fill>
      <patternFill patternType="solid">
        <fgColor rgb="FF2F5597"/>
      </patternFill>
    </fill>
    <fill>
      <patternFill patternType="solid">
        <fgColor rgb="FFFFCC99"/>
      </patternFill>
    </fill>
    <fill>
      <patternFill patternType="solid">
        <fgColor rgb="FF1F4E78"/>
      </patternFill>
    </fill>
    <fill>
      <patternFill patternType="solid">
        <fgColor rgb="FFFFFF00"/>
        <bgColor indexed="64"/>
      </patternFill>
    </fill>
    <fill>
      <patternFill patternType="solid">
        <fgColor theme="0"/>
        <bgColor indexed="64"/>
      </patternFill>
    </fill>
    <fill>
      <patternFill patternType="solid">
        <fgColor rgb="FF1F4E78"/>
        <bgColor rgb="FF2F5597"/>
      </patternFill>
    </fill>
    <fill>
      <patternFill patternType="solid">
        <fgColor rgb="FFFFFFFF"/>
        <bgColor rgb="FFEAEAEA"/>
      </patternFill>
    </fill>
    <fill>
      <patternFill patternType="solid">
        <fgColor rgb="FFFFFF00"/>
        <bgColor rgb="FFFFCC99"/>
      </patternFill>
    </fill>
    <fill>
      <patternFill patternType="solid">
        <fgColor theme="5" tint="0.59999389629810485"/>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1F4E78"/>
        <bgColor rgb="FF000000"/>
      </patternFill>
    </fill>
    <fill>
      <patternFill patternType="solid">
        <fgColor rgb="FFF7F9FB"/>
        <bgColor rgb="FF000000"/>
      </patternFill>
    </fill>
    <fill>
      <patternFill patternType="solid">
        <fgColor rgb="FFE2F0D9"/>
        <bgColor rgb="FF000000"/>
      </patternFill>
    </fill>
    <fill>
      <patternFill patternType="solid">
        <fgColor rgb="FFFFF2CC"/>
        <bgColor rgb="FF000000"/>
      </patternFill>
    </fill>
    <fill>
      <patternFill patternType="solid">
        <fgColor rgb="FF5B9BD5"/>
        <bgColor rgb="FF000000"/>
      </patternFill>
    </fill>
  </fills>
  <borders count="2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B4B4B4"/>
      </right>
      <top/>
      <bottom style="thin">
        <color rgb="FFB4B4B4"/>
      </bottom>
      <diagonal/>
    </border>
    <border>
      <left/>
      <right style="thin">
        <color rgb="FFB4B4B4"/>
      </right>
      <top style="thin">
        <color rgb="FFB4B4B4"/>
      </top>
      <bottom style="thin">
        <color rgb="FFB4B4B4"/>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
      <left style="thin">
        <color rgb="FFB4B4B4"/>
      </left>
      <right style="thin">
        <color rgb="FFB4B4B4"/>
      </right>
      <top style="thin">
        <color rgb="FFB4B4B4"/>
      </top>
      <bottom style="thin">
        <color rgb="FFB4B4B4"/>
      </bottom>
      <diagonal/>
    </border>
    <border>
      <left style="thin">
        <color rgb="FFB4B4B4"/>
      </left>
      <right style="thin">
        <color rgb="FFB4B4B4"/>
      </right>
      <top/>
      <bottom style="thin">
        <color rgb="FFB4B4B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4B4B4"/>
      </left>
      <right style="thin">
        <color rgb="FFB4B4B4"/>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59">
    <xf numFmtId="0" fontId="0" fillId="0" borderId="0" xfId="0"/>
    <xf numFmtId="0" fontId="0" fillId="0" borderId="0" xfId="0" applyAlignment="1">
      <alignment vertical="center"/>
    </xf>
    <xf numFmtId="10" fontId="0" fillId="0" borderId="0" xfId="0" applyNumberFormat="1"/>
    <xf numFmtId="0" fontId="0" fillId="0" borderId="0" xfId="0" applyAlignment="1">
      <alignment horizontal="center" vertical="center" wrapText="1"/>
    </xf>
    <xf numFmtId="0" fontId="13" fillId="0" borderId="0" xfId="0" applyFont="1"/>
    <xf numFmtId="0" fontId="15" fillId="4" borderId="0" xfId="0" applyFont="1" applyFill="1"/>
    <xf numFmtId="0" fontId="15" fillId="6" borderId="0" xfId="0" applyFont="1" applyFill="1"/>
    <xf numFmtId="0" fontId="15" fillId="3" borderId="0" xfId="0" applyFont="1" applyFill="1"/>
    <xf numFmtId="0" fontId="19" fillId="13" borderId="0" xfId="0" applyFont="1" applyFill="1" applyAlignment="1">
      <alignment horizontal="center" vertical="center" wrapText="1"/>
    </xf>
    <xf numFmtId="0" fontId="20" fillId="0" borderId="0" xfId="0" applyFont="1"/>
    <xf numFmtId="0" fontId="0" fillId="0" borderId="1" xfId="0" applyBorder="1"/>
    <xf numFmtId="0" fontId="0" fillId="0" borderId="2" xfId="0" applyBorder="1"/>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0" fillId="5" borderId="2" xfId="0" applyFill="1" applyBorder="1" applyAlignment="1">
      <alignment horizontal="center" vertical="center"/>
    </xf>
    <xf numFmtId="0" fontId="1" fillId="6" borderId="2" xfId="0" applyFont="1" applyFill="1" applyBorder="1" applyAlignment="1">
      <alignment horizontal="center" vertical="center"/>
    </xf>
    <xf numFmtId="0" fontId="7" fillId="4" borderId="3" xfId="0" applyFont="1" applyFill="1" applyBorder="1" applyAlignment="1">
      <alignment horizontal="center" vertical="center" wrapText="1"/>
    </xf>
    <xf numFmtId="0" fontId="8" fillId="4" borderId="3" xfId="0" applyFont="1" applyFill="1" applyBorder="1" applyAlignment="1">
      <alignment horizontal="center" wrapText="1"/>
    </xf>
    <xf numFmtId="0" fontId="7" fillId="6" borderId="4" xfId="0" applyFont="1" applyFill="1" applyBorder="1" applyAlignment="1">
      <alignment horizontal="center" vertical="center" wrapText="1"/>
    </xf>
    <xf numFmtId="0" fontId="8" fillId="6" borderId="4" xfId="0" applyFont="1" applyFill="1" applyBorder="1" applyAlignment="1">
      <alignment horizontal="center" wrapText="1"/>
    </xf>
    <xf numFmtId="0" fontId="7" fillId="6" borderId="3" xfId="0" applyFont="1" applyFill="1" applyBorder="1" applyAlignment="1">
      <alignment horizontal="center" vertical="center" wrapText="1"/>
    </xf>
    <xf numFmtId="0" fontId="8" fillId="6" borderId="3" xfId="0" applyFont="1" applyFill="1" applyBorder="1" applyAlignment="1">
      <alignment horizontal="center" wrapText="1"/>
    </xf>
    <xf numFmtId="0" fontId="6" fillId="4"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8" fillId="5" borderId="2" xfId="0" applyFont="1" applyFill="1" applyBorder="1" applyAlignment="1">
      <alignment horizontal="center" wrapText="1"/>
    </xf>
    <xf numFmtId="0" fontId="9" fillId="5" borderId="2" xfId="0" applyFont="1" applyFill="1" applyBorder="1" applyAlignment="1">
      <alignment horizontal="center" vertical="center" wrapText="1"/>
    </xf>
    <xf numFmtId="0" fontId="15" fillId="5" borderId="2" xfId="0" applyFont="1" applyFill="1" applyBorder="1"/>
    <xf numFmtId="0" fontId="13" fillId="0" borderId="2" xfId="0" applyFont="1" applyBorder="1"/>
    <xf numFmtId="0" fontId="10" fillId="5" borderId="2"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6" fillId="3"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8" fillId="3" borderId="4" xfId="0" applyFont="1" applyFill="1" applyBorder="1" applyAlignment="1">
      <alignment horizontal="center" wrapText="1"/>
    </xf>
    <xf numFmtId="0" fontId="9" fillId="3"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horizontal="center" wrapText="1"/>
    </xf>
    <xf numFmtId="0" fontId="9" fillId="3"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8" fillId="0" borderId="5"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8" fillId="0" borderId="8" xfId="0" applyFont="1" applyBorder="1" applyAlignment="1">
      <alignment vertical="center" wrapText="1"/>
    </xf>
    <xf numFmtId="0" fontId="8" fillId="9" borderId="7" xfId="0" applyFont="1" applyFill="1" applyBorder="1" applyAlignment="1">
      <alignment wrapText="1"/>
    </xf>
    <xf numFmtId="0" fontId="7" fillId="9" borderId="8" xfId="0" applyFont="1" applyFill="1" applyBorder="1" applyAlignment="1">
      <alignment wrapText="1"/>
    </xf>
    <xf numFmtId="0" fontId="8" fillId="9" borderId="8" xfId="0" applyFont="1" applyFill="1" applyBorder="1" applyAlignment="1">
      <alignment wrapText="1"/>
    </xf>
    <xf numFmtId="0" fontId="8" fillId="10" borderId="7" xfId="0" applyFont="1" applyFill="1" applyBorder="1" applyAlignment="1">
      <alignment wrapText="1"/>
    </xf>
    <xf numFmtId="0" fontId="7" fillId="10" borderId="8" xfId="0" applyFont="1" applyFill="1" applyBorder="1" applyAlignment="1">
      <alignment wrapText="1"/>
    </xf>
    <xf numFmtId="0" fontId="8" fillId="10" borderId="8" xfId="0" applyFont="1" applyFill="1" applyBorder="1" applyAlignment="1">
      <alignment wrapText="1"/>
    </xf>
    <xf numFmtId="0" fontId="8" fillId="11" borderId="7" xfId="0" applyFont="1" applyFill="1" applyBorder="1" applyAlignment="1">
      <alignment wrapText="1"/>
    </xf>
    <xf numFmtId="0" fontId="7" fillId="11" borderId="8" xfId="0" applyFont="1" applyFill="1" applyBorder="1" applyAlignment="1">
      <alignment wrapText="1"/>
    </xf>
    <xf numFmtId="0" fontId="8" fillId="11" borderId="8" xfId="0" applyFont="1" applyFill="1" applyBorder="1" applyAlignment="1">
      <alignment wrapText="1"/>
    </xf>
    <xf numFmtId="0" fontId="8" fillId="12" borderId="7" xfId="0" applyFont="1" applyFill="1" applyBorder="1" applyAlignment="1">
      <alignment wrapText="1"/>
    </xf>
    <xf numFmtId="0" fontId="7" fillId="12" borderId="8" xfId="0" applyFont="1" applyFill="1" applyBorder="1" applyAlignment="1">
      <alignment wrapText="1"/>
    </xf>
    <xf numFmtId="0" fontId="8" fillId="12" borderId="8" xfId="0" applyFont="1" applyFill="1" applyBorder="1" applyAlignment="1">
      <alignment wrapText="1"/>
    </xf>
    <xf numFmtId="0" fontId="8" fillId="14" borderId="7" xfId="0" applyFont="1" applyFill="1" applyBorder="1" applyAlignment="1">
      <alignment wrapText="1"/>
    </xf>
    <xf numFmtId="0" fontId="7" fillId="14" borderId="8" xfId="0" applyFont="1" applyFill="1" applyBorder="1" applyAlignment="1">
      <alignment wrapText="1"/>
    </xf>
    <xf numFmtId="0" fontId="8" fillId="14" borderId="8" xfId="0" applyFont="1" applyFill="1" applyBorder="1" applyAlignment="1">
      <alignment wrapText="1"/>
    </xf>
    <xf numFmtId="0" fontId="0" fillId="0" borderId="8" xfId="0" applyBorder="1" applyAlignment="1">
      <alignment vertical="top" wrapText="1"/>
    </xf>
    <xf numFmtId="0" fontId="4" fillId="15" borderId="2" xfId="0" applyFont="1" applyFill="1" applyBorder="1" applyAlignment="1">
      <alignment wrapText="1"/>
    </xf>
    <xf numFmtId="0" fontId="4" fillId="15" borderId="2" xfId="0" applyFont="1" applyFill="1" applyBorder="1" applyAlignment="1">
      <alignment horizontal="center" wrapText="1"/>
    </xf>
    <xf numFmtId="0" fontId="4" fillId="15" borderId="2" xfId="0" applyFont="1" applyFill="1" applyBorder="1" applyAlignment="1">
      <alignment horizontal="center" vertical="center" wrapText="1"/>
    </xf>
    <xf numFmtId="0" fontId="1" fillId="5" borderId="2" xfId="0" applyFont="1" applyFill="1" applyBorder="1" applyAlignment="1">
      <alignment horizontal="center" vertical="top" wrapText="1"/>
    </xf>
    <xf numFmtId="0" fontId="0" fillId="5" borderId="2" xfId="0" applyFill="1" applyBorder="1" applyAlignment="1">
      <alignment horizontal="center" vertical="top" wrapText="1"/>
    </xf>
    <xf numFmtId="0" fontId="1" fillId="4" borderId="2" xfId="0" applyFont="1" applyFill="1" applyBorder="1" applyAlignment="1">
      <alignment horizontal="center" vertical="top" wrapText="1"/>
    </xf>
    <xf numFmtId="0" fontId="0" fillId="4" borderId="2" xfId="0" applyFill="1" applyBorder="1" applyAlignment="1">
      <alignment horizontal="center" vertical="top" wrapText="1"/>
    </xf>
    <xf numFmtId="0" fontId="1" fillId="8" borderId="2" xfId="0" applyFont="1" applyFill="1" applyBorder="1" applyAlignment="1">
      <alignment horizontal="center" vertical="top" wrapText="1"/>
    </xf>
    <xf numFmtId="0" fontId="0" fillId="8" borderId="2" xfId="0" applyFill="1" applyBorder="1" applyAlignment="1">
      <alignment horizontal="center" vertical="top" wrapText="1"/>
    </xf>
    <xf numFmtId="0" fontId="1" fillId="3" borderId="2" xfId="0" applyFont="1" applyFill="1" applyBorder="1" applyAlignment="1">
      <alignment horizontal="center" vertical="top" wrapText="1"/>
    </xf>
    <xf numFmtId="0" fontId="0" fillId="3" borderId="2" xfId="0" applyFill="1" applyBorder="1" applyAlignment="1">
      <alignment horizontal="center" vertical="top" wrapText="1"/>
    </xf>
    <xf numFmtId="0" fontId="19" fillId="15" borderId="2" xfId="0" applyFont="1" applyFill="1" applyBorder="1" applyAlignment="1">
      <alignment horizontal="center" vertical="center" wrapText="1"/>
    </xf>
    <xf numFmtId="0" fontId="19" fillId="15" borderId="0" xfId="0" applyFont="1" applyFill="1" applyAlignment="1">
      <alignment horizontal="center" vertical="center" wrapText="1"/>
    </xf>
    <xf numFmtId="0" fontId="13" fillId="0" borderId="0" xfId="0" applyFont="1" applyAlignment="1">
      <alignment horizontal="center" vertical="center" wrapText="1"/>
    </xf>
    <xf numFmtId="0" fontId="14" fillId="15" borderId="6" xfId="0" applyFont="1" applyFill="1" applyBorder="1" applyAlignment="1">
      <alignment wrapText="1"/>
    </xf>
    <xf numFmtId="0" fontId="14" fillId="15" borderId="5" xfId="0" applyFont="1" applyFill="1" applyBorder="1" applyAlignment="1">
      <alignment wrapText="1"/>
    </xf>
    <xf numFmtId="0" fontId="0" fillId="8" borderId="2" xfId="0" applyFill="1" applyBorder="1" applyAlignment="1">
      <alignment horizontal="center" vertical="center" wrapText="1"/>
    </xf>
    <xf numFmtId="0" fontId="0" fillId="0" borderId="2" xfId="0" applyBorder="1" applyAlignment="1">
      <alignment horizontal="center" vertical="center"/>
    </xf>
    <xf numFmtId="0" fontId="13" fillId="0" borderId="1" xfId="0" applyFont="1" applyBorder="1" applyAlignment="1">
      <alignment horizontal="center" vertical="center" wrapText="1"/>
    </xf>
    <xf numFmtId="0" fontId="1" fillId="0" borderId="2" xfId="0" applyFont="1" applyBorder="1" applyAlignment="1">
      <alignment horizontal="center" vertical="center"/>
    </xf>
    <xf numFmtId="0" fontId="5" fillId="3" borderId="9"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12" fillId="0" borderId="2" xfId="0" applyFont="1" applyBorder="1" applyAlignment="1">
      <alignment horizontal="center" vertical="center"/>
    </xf>
    <xf numFmtId="0" fontId="21" fillId="0" borderId="0" xfId="0" applyFont="1" applyAlignment="1">
      <alignment vertical="top" wrapText="1"/>
    </xf>
    <xf numFmtId="10" fontId="0" fillId="0" borderId="1" xfId="0" applyNumberFormat="1" applyBorder="1"/>
    <xf numFmtId="0" fontId="0" fillId="21" borderId="2" xfId="0" applyFill="1" applyBorder="1" applyAlignment="1">
      <alignment horizontal="center" vertical="center"/>
    </xf>
    <xf numFmtId="0" fontId="22" fillId="18" borderId="17" xfId="0" applyFont="1" applyFill="1" applyBorder="1" applyAlignment="1">
      <alignment horizontal="center" vertical="center" wrapText="1"/>
    </xf>
    <xf numFmtId="0" fontId="22" fillId="18" borderId="18" xfId="0" applyFont="1" applyFill="1" applyBorder="1" applyAlignment="1">
      <alignment horizontal="center" vertical="center" wrapText="1"/>
    </xf>
    <xf numFmtId="0" fontId="22" fillId="18" borderId="22" xfId="0" applyFont="1" applyFill="1" applyBorder="1" applyAlignment="1">
      <alignment horizontal="center" vertical="center" wrapText="1"/>
    </xf>
    <xf numFmtId="0" fontId="23" fillId="26" borderId="18" xfId="0" applyFont="1" applyFill="1" applyBorder="1" applyAlignment="1">
      <alignment horizontal="center" vertical="center"/>
    </xf>
    <xf numFmtId="0" fontId="24" fillId="26" borderId="18" xfId="0" applyFont="1" applyFill="1" applyBorder="1" applyAlignment="1">
      <alignment horizontal="center" vertical="center"/>
    </xf>
    <xf numFmtId="0" fontId="23" fillId="19" borderId="19" xfId="0" applyFont="1" applyFill="1" applyBorder="1" applyAlignment="1">
      <alignment horizontal="center" vertical="center" wrapText="1"/>
    </xf>
    <xf numFmtId="0" fontId="24" fillId="19" borderId="21" xfId="0" applyFont="1" applyFill="1" applyBorder="1" applyAlignment="1">
      <alignment horizontal="center" vertical="center" wrapText="1"/>
    </xf>
    <xf numFmtId="0" fontId="24" fillId="19" borderId="2" xfId="0" applyFont="1" applyFill="1" applyBorder="1" applyAlignment="1">
      <alignment horizontal="center" vertical="center" wrapText="1"/>
    </xf>
    <xf numFmtId="0" fontId="24" fillId="19" borderId="20" xfId="0" applyFont="1" applyFill="1" applyBorder="1" applyAlignment="1">
      <alignment horizontal="center" vertical="center" wrapText="1"/>
    </xf>
    <xf numFmtId="0" fontId="24" fillId="20" borderId="20" xfId="0" applyFont="1" applyFill="1" applyBorder="1" applyAlignment="1">
      <alignment horizontal="center" vertical="center"/>
    </xf>
    <xf numFmtId="0" fontId="24" fillId="0" borderId="20" xfId="0" applyFont="1" applyBorder="1" applyAlignment="1">
      <alignment horizontal="center" vertical="center"/>
    </xf>
    <xf numFmtId="0" fontId="24" fillId="19" borderId="20" xfId="0" applyFont="1" applyFill="1" applyBorder="1" applyAlignment="1">
      <alignment horizontal="center" vertical="center"/>
    </xf>
    <xf numFmtId="0" fontId="24" fillId="16" borderId="20" xfId="0" applyFont="1" applyFill="1" applyBorder="1" applyAlignment="1">
      <alignment horizontal="center" vertical="center"/>
    </xf>
    <xf numFmtId="0" fontId="24" fillId="17" borderId="20" xfId="0" applyFont="1" applyFill="1" applyBorder="1" applyAlignment="1">
      <alignment horizontal="center" vertical="center"/>
    </xf>
    <xf numFmtId="0" fontId="1" fillId="2" borderId="2" xfId="0" applyFont="1" applyFill="1" applyBorder="1" applyAlignment="1">
      <alignment horizontal="center" vertical="center" wrapText="1"/>
    </xf>
    <xf numFmtId="10" fontId="2" fillId="7" borderId="2" xfId="0" applyNumberFormat="1" applyFont="1" applyFill="1" applyBorder="1" applyAlignment="1">
      <alignment horizontal="center" vertical="center"/>
    </xf>
    <xf numFmtId="0" fontId="1" fillId="17" borderId="2" xfId="0" applyFont="1" applyFill="1" applyBorder="1" applyAlignment="1">
      <alignment horizontal="center" vertical="center" wrapText="1"/>
    </xf>
    <xf numFmtId="0" fontId="0" fillId="22" borderId="2" xfId="0" applyFill="1" applyBorder="1" applyAlignment="1">
      <alignment horizontal="center" vertical="center"/>
    </xf>
    <xf numFmtId="0" fontId="0" fillId="23" borderId="2" xfId="0" applyFill="1" applyBorder="1" applyAlignment="1">
      <alignment horizontal="center" vertical="center"/>
    </xf>
    <xf numFmtId="0" fontId="0" fillId="24" borderId="2" xfId="0" applyFill="1" applyBorder="1" applyAlignment="1">
      <alignment horizontal="center" vertical="center"/>
    </xf>
    <xf numFmtId="10" fontId="0" fillId="25" borderId="2" xfId="0" applyNumberFormat="1" applyFill="1" applyBorder="1" applyAlignment="1">
      <alignment horizontal="center" vertical="center"/>
    </xf>
    <xf numFmtId="0" fontId="1" fillId="17" borderId="2" xfId="0" applyFont="1" applyFill="1" applyBorder="1" applyAlignment="1">
      <alignment horizontal="center" vertical="center"/>
    </xf>
    <xf numFmtId="10" fontId="0" fillId="7" borderId="2" xfId="0" applyNumberFormat="1" applyFill="1" applyBorder="1" applyAlignment="1">
      <alignment horizontal="center" vertical="center"/>
    </xf>
    <xf numFmtId="0" fontId="0" fillId="4" borderId="2" xfId="0" applyFill="1" applyBorder="1" applyAlignment="1">
      <alignment horizontal="center" vertical="center"/>
    </xf>
    <xf numFmtId="0" fontId="0" fillId="6" borderId="2" xfId="0" applyFill="1" applyBorder="1" applyAlignment="1">
      <alignment horizontal="center" vertical="center"/>
    </xf>
    <xf numFmtId="0" fontId="0" fillId="3" borderId="2" xfId="0" applyFill="1" applyBorder="1" applyAlignment="1">
      <alignment horizontal="center" vertical="center"/>
    </xf>
    <xf numFmtId="0" fontId="25" fillId="0" borderId="1" xfId="0" applyFont="1" applyFill="1" applyBorder="1" applyAlignment="1"/>
    <xf numFmtId="0" fontId="25" fillId="0" borderId="0" xfId="0" applyFont="1" applyFill="1" applyAlignment="1"/>
    <xf numFmtId="0" fontId="25" fillId="0" borderId="2" xfId="0" applyFont="1" applyFill="1" applyBorder="1" applyAlignment="1">
      <alignment horizontal="center" vertical="center"/>
    </xf>
    <xf numFmtId="0" fontId="25" fillId="0" borderId="2" xfId="0" applyFont="1" applyFill="1" applyBorder="1" applyAlignment="1">
      <alignment horizontal="center" vertical="center"/>
    </xf>
    <xf numFmtId="0" fontId="27" fillId="27" borderId="2" xfId="0" applyFont="1" applyFill="1" applyBorder="1" applyAlignment="1">
      <alignment horizontal="center" vertical="center" wrapText="1"/>
    </xf>
    <xf numFmtId="0" fontId="28" fillId="28" borderId="2" xfId="0" applyFont="1" applyFill="1" applyBorder="1" applyAlignment="1">
      <alignment horizontal="center" vertical="center" wrapText="1"/>
    </xf>
    <xf numFmtId="0" fontId="29" fillId="29" borderId="2" xfId="0" applyFont="1" applyFill="1" applyBorder="1" applyAlignment="1">
      <alignment horizontal="center" vertical="center" wrapText="1"/>
    </xf>
    <xf numFmtId="0" fontId="28" fillId="0" borderId="2" xfId="0" applyFont="1" applyFill="1" applyBorder="1" applyAlignment="1">
      <alignment horizontal="center" vertical="center" wrapText="1"/>
    </xf>
    <xf numFmtId="0" fontId="30" fillId="30" borderId="2" xfId="0" applyFont="1" applyFill="1" applyBorder="1" applyAlignment="1">
      <alignment horizontal="center" vertical="center" wrapText="1"/>
    </xf>
    <xf numFmtId="0" fontId="31" fillId="27" borderId="2" xfId="0" applyFont="1" applyFill="1" applyBorder="1" applyAlignment="1">
      <alignment horizontal="center" vertical="center"/>
    </xf>
    <xf numFmtId="0" fontId="32" fillId="0" borderId="2" xfId="0" applyFont="1" applyFill="1" applyBorder="1" applyAlignment="1">
      <alignment horizontal="center" vertical="center"/>
    </xf>
    <xf numFmtId="0" fontId="33" fillId="31" borderId="2" xfId="0" applyFont="1" applyFill="1" applyBorder="1" applyAlignment="1">
      <alignment horizontal="center" vertical="center" wrapText="1"/>
    </xf>
    <xf numFmtId="0" fontId="32" fillId="0" borderId="2" xfId="0" applyFont="1" applyFill="1" applyBorder="1" applyAlignment="1">
      <alignment horizontal="center" vertical="center" wrapText="1"/>
    </xf>
    <xf numFmtId="0" fontId="26" fillId="0" borderId="2" xfId="0" applyFont="1" applyFill="1" applyBorder="1" applyAlignment="1">
      <alignment horizontal="center" vertical="center" wrapText="1"/>
    </xf>
    <xf numFmtId="0" fontId="19" fillId="15" borderId="1" xfId="0" applyFont="1" applyFill="1" applyBorder="1" applyAlignment="1">
      <alignment horizontal="center" vertical="center" wrapText="1"/>
    </xf>
    <xf numFmtId="0" fontId="34" fillId="27" borderId="2" xfId="0" applyFont="1" applyFill="1" applyBorder="1" applyAlignment="1">
      <alignment horizontal="center" vertical="center"/>
    </xf>
    <xf numFmtId="0" fontId="35" fillId="31"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3" fillId="0" borderId="2" xfId="0" applyFont="1" applyBorder="1" applyAlignment="1"/>
    <xf numFmtId="0" fontId="0" fillId="0" borderId="11" xfId="0" applyBorder="1" applyAlignment="1"/>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0" fontId="0" fillId="0" borderId="10" xfId="0" applyBorder="1" applyAlignment="1"/>
    <xf numFmtId="0" fontId="3" fillId="0" borderId="16" xfId="0" applyFont="1" applyBorder="1" applyAlignment="1"/>
    <xf numFmtId="0" fontId="0" fillId="0" borderId="23" xfId="0" applyBorder="1" applyAlignment="1"/>
    <xf numFmtId="0" fontId="0" fillId="0" borderId="24" xfId="0" applyBorder="1" applyAlignment="1"/>
    <xf numFmtId="0" fontId="16" fillId="15" borderId="0" xfId="0" applyFont="1" applyFill="1" applyAlignment="1"/>
    <xf numFmtId="0" fontId="0" fillId="0" borderId="0" xfId="0" applyAlignment="1"/>
    <xf numFmtId="0" fontId="17" fillId="0" borderId="0" xfId="0" applyFont="1" applyAlignment="1"/>
    <xf numFmtId="0" fontId="1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r>
              <a:rPr lang="en-US" sz="1400" b="0" i="0">
                <a:solidFill>
                  <a:schemeClr val="tx1">
                    <a:lumMod val="65000"/>
                    <a:lumOff val="35000"/>
                  </a:schemeClr>
                </a:solidFill>
                <a:latin typeface="+mn-lt"/>
                <a:ea typeface="+mn-lt"/>
                <a:cs typeface="+mn-lt"/>
              </a:rPr>
              <a:t>Mapa de Empatia</a:t>
            </a:r>
          </a:p>
        </c:rich>
      </c:tx>
      <c:overlay val="1"/>
    </c:title>
    <c:autoTitleDeleted val="0"/>
    <c:plotArea>
      <c:layout/>
      <c:radarChart>
        <c:radarStyle val="marker"/>
        <c:varyColors val="1"/>
        <c:ser>
          <c:idx val="0"/>
          <c:order val="0"/>
          <c:tx>
            <c:strRef>
              <c:f>'Priorizacion QA'!$B$1</c:f>
              <c:strCache>
                <c:ptCount val="1"/>
                <c:pt idx="0">
                  <c:v>Administrador del operador</c:v>
                </c:pt>
              </c:strCache>
            </c:strRef>
          </c:tx>
          <c:spPr>
            <a:ln w="28575">
              <a:solidFill>
                <a:srgbClr val="F7C7AC"/>
              </a:solidFill>
              <a:prstDash val="solid"/>
            </a:ln>
          </c:spPr>
          <c:marker>
            <c:symbol val="circle"/>
            <c:size val="5"/>
            <c:spPr>
              <a:solidFill>
                <a:srgbClr val="F7C7AC"/>
              </a:solidFill>
              <a:ln w="9525">
                <a:solidFill>
                  <a:srgbClr val="F7C7AC"/>
                </a:solidFill>
                <a:prstDash val="solid"/>
              </a:ln>
            </c:spPr>
          </c:marker>
          <c:cat>
            <c:strRef>
              <c:f>'Priorizacion QA'!$A$6:$A$12</c:f>
              <c:strCache>
                <c:ptCount val="7"/>
                <c:pt idx="0">
                  <c:v>Aislamiento</c:v>
                </c:pt>
                <c:pt idx="1">
                  <c:v>Interoperabilidad</c:v>
                </c:pt>
                <c:pt idx="2">
                  <c:v>Capacidadd</c:v>
                </c:pt>
                <c:pt idx="3">
                  <c:v>Capacidad para ser auditado</c:v>
                </c:pt>
                <c:pt idx="4">
                  <c:v>Usabilidad - UX</c:v>
                </c:pt>
                <c:pt idx="5">
                  <c:v>Escalabilidad</c:v>
                </c:pt>
                <c:pt idx="6">
                  <c:v>Mantenibilidad</c:v>
                </c:pt>
              </c:strCache>
            </c:strRef>
          </c:cat>
          <c:val>
            <c:numRef>
              <c:f>'Priorizacion QA'!$B$6:$B$12</c:f>
              <c:numCache>
                <c:formatCode>General</c:formatCode>
                <c:ptCount val="7"/>
                <c:pt idx="0">
                  <c:v>7</c:v>
                </c:pt>
                <c:pt idx="1">
                  <c:v>3</c:v>
                </c:pt>
                <c:pt idx="2">
                  <c:v>4</c:v>
                </c:pt>
                <c:pt idx="3">
                  <c:v>6</c:v>
                </c:pt>
                <c:pt idx="4">
                  <c:v>5</c:v>
                </c:pt>
                <c:pt idx="5">
                  <c:v>2</c:v>
                </c:pt>
                <c:pt idx="6">
                  <c:v>1</c:v>
                </c:pt>
              </c:numCache>
            </c:numRef>
          </c:val>
          <c:extLst>
            <c:ext xmlns:c16="http://schemas.microsoft.com/office/drawing/2014/chart" uri="{C3380CC4-5D6E-409C-BE32-E72D297353CC}">
              <c16:uniqueId val="{00000000-253A-48C0-955B-4D1D7AF34FEB}"/>
            </c:ext>
          </c:extLst>
        </c:ser>
        <c:ser>
          <c:idx val="1"/>
          <c:order val="1"/>
          <c:tx>
            <c:strRef>
              <c:f>'Priorizacion QA'!$C$1</c:f>
              <c:strCache>
                <c:ptCount val="1"/>
                <c:pt idx="0">
                  <c:v>Conductor </c:v>
                </c:pt>
              </c:strCache>
            </c:strRef>
          </c:tx>
          <c:spPr>
            <a:ln w="28575">
              <a:solidFill>
                <a:srgbClr val="A6C9EC"/>
              </a:solidFill>
              <a:prstDash val="solid"/>
            </a:ln>
          </c:spPr>
          <c:marker>
            <c:symbol val="circle"/>
            <c:size val="5"/>
            <c:spPr>
              <a:solidFill>
                <a:srgbClr val="A6C9EC"/>
              </a:solidFill>
              <a:ln w="9525">
                <a:solidFill>
                  <a:srgbClr val="A6C9EC"/>
                </a:solidFill>
                <a:prstDash val="solid"/>
              </a:ln>
            </c:spPr>
          </c:marker>
          <c:cat>
            <c:strRef>
              <c:f>'Priorizacion QA'!$A$6:$A$12</c:f>
              <c:strCache>
                <c:ptCount val="7"/>
                <c:pt idx="0">
                  <c:v>Aislamiento</c:v>
                </c:pt>
                <c:pt idx="1">
                  <c:v>Interoperabilidad</c:v>
                </c:pt>
                <c:pt idx="2">
                  <c:v>Capacidadd</c:v>
                </c:pt>
                <c:pt idx="3">
                  <c:v>Capacidad para ser auditado</c:v>
                </c:pt>
                <c:pt idx="4">
                  <c:v>Usabilidad - UX</c:v>
                </c:pt>
                <c:pt idx="5">
                  <c:v>Escalabilidad</c:v>
                </c:pt>
                <c:pt idx="6">
                  <c:v>Mantenibilidad</c:v>
                </c:pt>
              </c:strCache>
            </c:strRef>
          </c:cat>
          <c:val>
            <c:numRef>
              <c:f>'Priorizacion QA'!$C$6:$C$12</c:f>
              <c:numCache>
                <c:formatCode>General</c:formatCode>
                <c:ptCount val="7"/>
                <c:pt idx="0">
                  <c:v>3</c:v>
                </c:pt>
                <c:pt idx="1">
                  <c:v>6</c:v>
                </c:pt>
                <c:pt idx="2">
                  <c:v>5</c:v>
                </c:pt>
                <c:pt idx="3">
                  <c:v>2</c:v>
                </c:pt>
                <c:pt idx="4">
                  <c:v>7</c:v>
                </c:pt>
                <c:pt idx="5">
                  <c:v>4</c:v>
                </c:pt>
                <c:pt idx="6">
                  <c:v>1</c:v>
                </c:pt>
              </c:numCache>
            </c:numRef>
          </c:val>
          <c:extLst>
            <c:ext xmlns:c16="http://schemas.microsoft.com/office/drawing/2014/chart" uri="{C3380CC4-5D6E-409C-BE32-E72D297353CC}">
              <c16:uniqueId val="{00000001-253A-48C0-955B-4D1D7AF34FEB}"/>
            </c:ext>
          </c:extLst>
        </c:ser>
        <c:ser>
          <c:idx val="2"/>
          <c:order val="2"/>
          <c:tx>
            <c:strRef>
              <c:f>'Priorizacion QA'!$D$1</c:f>
              <c:strCache>
                <c:ptCount val="1"/>
                <c:pt idx="0">
                  <c:v>Pasajero </c:v>
                </c:pt>
              </c:strCache>
            </c:strRef>
          </c:tx>
          <c:spPr>
            <a:ln w="28575">
              <a:solidFill>
                <a:srgbClr val="B5E6A2"/>
              </a:solidFill>
              <a:prstDash val="solid"/>
            </a:ln>
          </c:spPr>
          <c:marker>
            <c:symbol val="circle"/>
            <c:size val="5"/>
            <c:spPr>
              <a:solidFill>
                <a:srgbClr val="B5E6A2"/>
              </a:solidFill>
              <a:ln w="9525">
                <a:solidFill>
                  <a:srgbClr val="B5E6A2"/>
                </a:solidFill>
                <a:prstDash val="solid"/>
              </a:ln>
            </c:spPr>
          </c:marker>
          <c:cat>
            <c:strRef>
              <c:f>'Priorizacion QA'!$A$6:$A$12</c:f>
              <c:strCache>
                <c:ptCount val="7"/>
                <c:pt idx="0">
                  <c:v>Aislamiento</c:v>
                </c:pt>
                <c:pt idx="1">
                  <c:v>Interoperabilidad</c:v>
                </c:pt>
                <c:pt idx="2">
                  <c:v>Capacidadd</c:v>
                </c:pt>
                <c:pt idx="3">
                  <c:v>Capacidad para ser auditado</c:v>
                </c:pt>
                <c:pt idx="4">
                  <c:v>Usabilidad - UX</c:v>
                </c:pt>
                <c:pt idx="5">
                  <c:v>Escalabilidad</c:v>
                </c:pt>
                <c:pt idx="6">
                  <c:v>Mantenibilidad</c:v>
                </c:pt>
              </c:strCache>
            </c:strRef>
          </c:cat>
          <c:val>
            <c:numRef>
              <c:f>'Priorizacion QA'!$D$6:$D$12</c:f>
              <c:numCache>
                <c:formatCode>General</c:formatCode>
                <c:ptCount val="7"/>
                <c:pt idx="0">
                  <c:v>4</c:v>
                </c:pt>
                <c:pt idx="1">
                  <c:v>5</c:v>
                </c:pt>
                <c:pt idx="2">
                  <c:v>3</c:v>
                </c:pt>
                <c:pt idx="3">
                  <c:v>2</c:v>
                </c:pt>
                <c:pt idx="4">
                  <c:v>7</c:v>
                </c:pt>
                <c:pt idx="5">
                  <c:v>6</c:v>
                </c:pt>
                <c:pt idx="6">
                  <c:v>1</c:v>
                </c:pt>
              </c:numCache>
            </c:numRef>
          </c:val>
          <c:extLst>
            <c:ext xmlns:c16="http://schemas.microsoft.com/office/drawing/2014/chart" uri="{C3380CC4-5D6E-409C-BE32-E72D297353CC}">
              <c16:uniqueId val="{00000002-253A-48C0-955B-4D1D7AF34FEB}"/>
            </c:ext>
          </c:extLst>
        </c:ser>
        <c:ser>
          <c:idx val="3"/>
          <c:order val="3"/>
          <c:tx>
            <c:strRef>
              <c:f>'Priorizacion QA'!$E$1</c:f>
              <c:strCache>
                <c:ptCount val="1"/>
                <c:pt idx="0">
                  <c:v>Operador logístico</c:v>
                </c:pt>
              </c:strCache>
            </c:strRef>
          </c:tx>
          <c:spPr>
            <a:ln w="28575">
              <a:solidFill>
                <a:srgbClr val="E49EDD"/>
              </a:solidFill>
              <a:prstDash val="solid"/>
            </a:ln>
          </c:spPr>
          <c:marker>
            <c:symbol val="circle"/>
            <c:size val="5"/>
            <c:spPr>
              <a:solidFill>
                <a:srgbClr val="E49EDD"/>
              </a:solidFill>
              <a:ln w="9525">
                <a:solidFill>
                  <a:srgbClr val="E49EDD"/>
                </a:solidFill>
                <a:prstDash val="solid"/>
              </a:ln>
            </c:spPr>
          </c:marker>
          <c:cat>
            <c:strRef>
              <c:f>'Priorizacion QA'!$A$6:$A$12</c:f>
              <c:strCache>
                <c:ptCount val="7"/>
                <c:pt idx="0">
                  <c:v>Aislamiento</c:v>
                </c:pt>
                <c:pt idx="1">
                  <c:v>Interoperabilidad</c:v>
                </c:pt>
                <c:pt idx="2">
                  <c:v>Capacidadd</c:v>
                </c:pt>
                <c:pt idx="3">
                  <c:v>Capacidad para ser auditado</c:v>
                </c:pt>
                <c:pt idx="4">
                  <c:v>Usabilidad - UX</c:v>
                </c:pt>
                <c:pt idx="5">
                  <c:v>Escalabilidad</c:v>
                </c:pt>
                <c:pt idx="6">
                  <c:v>Mantenibilidad</c:v>
                </c:pt>
              </c:strCache>
            </c:strRef>
          </c:cat>
          <c:val>
            <c:numRef>
              <c:f>'Priorizacion QA'!$E$6:$E$12</c:f>
              <c:numCache>
                <c:formatCode>General</c:formatCode>
                <c:ptCount val="7"/>
                <c:pt idx="0">
                  <c:v>4</c:v>
                </c:pt>
                <c:pt idx="1">
                  <c:v>6</c:v>
                </c:pt>
                <c:pt idx="2">
                  <c:v>5</c:v>
                </c:pt>
                <c:pt idx="3">
                  <c:v>8</c:v>
                </c:pt>
                <c:pt idx="4">
                  <c:v>3</c:v>
                </c:pt>
                <c:pt idx="5">
                  <c:v>2</c:v>
                </c:pt>
                <c:pt idx="6">
                  <c:v>1</c:v>
                </c:pt>
              </c:numCache>
            </c:numRef>
          </c:val>
          <c:extLst>
            <c:ext xmlns:c16="http://schemas.microsoft.com/office/drawing/2014/chart" uri="{C3380CC4-5D6E-409C-BE32-E72D297353CC}">
              <c16:uniqueId val="{00000003-253A-48C0-955B-4D1D7AF34FEB}"/>
            </c:ext>
          </c:extLst>
        </c:ser>
        <c:dLbls>
          <c:showLegendKey val="0"/>
          <c:showVal val="0"/>
          <c:showCatName val="0"/>
          <c:showSerName val="0"/>
          <c:showPercent val="0"/>
          <c:showBubbleSize val="0"/>
        </c:dLbls>
        <c:axId val="1830931463"/>
        <c:axId val="1832539143"/>
      </c:radarChart>
      <c:catAx>
        <c:axId val="1830931463"/>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1832539143"/>
        <c:crosses val="autoZero"/>
        <c:auto val="1"/>
        <c:lblAlgn val="ctr"/>
        <c:lblOffset val="100"/>
        <c:noMultiLvlLbl val="0"/>
      </c:catAx>
      <c:valAx>
        <c:axId val="1832539143"/>
        <c:scaling>
          <c:orientation val="minMax"/>
        </c:scaling>
        <c:delete val="0"/>
        <c:axPos val="l"/>
        <c:majorGridlines>
          <c:spPr>
            <a:ln w="9525" cmpd="sng">
              <a:solidFill>
                <a:schemeClr val="tx1">
                  <a:lumMod val="15000"/>
                  <a:lumOff val="85000"/>
                </a:schemeClr>
              </a:solidFill>
              <a:prstDash val="solid"/>
            </a:ln>
          </c:spPr>
        </c:majorGridlines>
        <c:numFmt formatCode="General" sourceLinked="1"/>
        <c:majorTickMark val="none"/>
        <c:minorTickMark val="none"/>
        <c:tickLblPos val="nextTo"/>
        <c:spPr>
          <a:ln>
            <a:no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1830931463"/>
        <c:crosses val="autoZero"/>
        <c:crossBetween val="between"/>
      </c:valAx>
    </c:plotArea>
    <c:legend>
      <c:legendPos val="t"/>
      <c:layout>
        <c:manualLayout>
          <c:xMode val="edge"/>
          <c:yMode val="edge"/>
          <c:x val="0.13694343071417439"/>
          <c:y val="9.475369616522307E-2"/>
          <c:w val="0.72486110597677633"/>
          <c:h val="4.8913385826771648E-2"/>
        </c:manualLayout>
      </c:layout>
      <c:overlay val="0"/>
      <c:spPr>
        <a:noFill/>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zero"/>
    <c:showDLblsOverMax val="1"/>
  </c:chart>
  <c:spPr>
    <a:solidFill>
      <a:schemeClr val="bg1"/>
    </a:solidFill>
    <a:ln w="9525" cmpd="sng">
      <a:solidFill>
        <a:schemeClr val="tx1">
          <a:lumMod val="15000"/>
          <a:lumOff val="85000"/>
        </a:schemeClr>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476250</xdr:colOff>
      <xdr:row>0</xdr:row>
      <xdr:rowOff>0</xdr:rowOff>
    </xdr:from>
    <xdr:to>
      <xdr:col>17</xdr:col>
      <xdr:colOff>466725</xdr:colOff>
      <xdr:row>40</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
  <sheetViews>
    <sheetView zoomScaleNormal="100" zoomScaleSheetLayoutView="100" workbookViewId="0">
      <selection activeCell="C8" sqref="C8"/>
    </sheetView>
  </sheetViews>
  <sheetFormatPr defaultColWidth="11.42578125" defaultRowHeight="15" customHeight="1"/>
  <cols>
    <col min="1" max="1" width="4.42578125" bestFit="1" customWidth="1"/>
    <col min="2" max="2" width="25.140625" bestFit="1" customWidth="1"/>
    <col min="3" max="3" width="143.42578125" bestFit="1" customWidth="1"/>
    <col min="4" max="4" width="211.85546875" bestFit="1" customWidth="1"/>
    <col min="5" max="5" width="102.5703125" bestFit="1" customWidth="1"/>
    <col min="6" max="6" width="68.85546875" bestFit="1" customWidth="1"/>
    <col min="7" max="7" width="51.5703125" bestFit="1" customWidth="1"/>
    <col min="8" max="9" width="3.28515625" bestFit="1" customWidth="1"/>
    <col min="10" max="18" width="2.28515625" bestFit="1" customWidth="1"/>
  </cols>
  <sheetData>
    <row r="1" spans="1:19">
      <c r="A1" s="101" t="s">
        <v>0</v>
      </c>
      <c r="B1" s="102" t="s">
        <v>1</v>
      </c>
      <c r="C1" s="103" t="s">
        <v>2</v>
      </c>
      <c r="D1" s="103" t="s">
        <v>3</v>
      </c>
      <c r="E1" s="102" t="s">
        <v>4</v>
      </c>
      <c r="F1" s="102" t="s">
        <v>5</v>
      </c>
      <c r="G1" s="102" t="s">
        <v>6</v>
      </c>
      <c r="H1" s="104">
        <v>11</v>
      </c>
      <c r="I1" s="104">
        <v>10</v>
      </c>
      <c r="J1" s="104">
        <v>9</v>
      </c>
      <c r="K1" s="104">
        <v>8</v>
      </c>
      <c r="L1" s="105">
        <v>7</v>
      </c>
      <c r="M1" s="105">
        <v>6</v>
      </c>
      <c r="N1" s="105">
        <v>5</v>
      </c>
      <c r="O1" s="105">
        <v>4</v>
      </c>
      <c r="P1" s="105">
        <v>3</v>
      </c>
      <c r="Q1" s="105">
        <v>2</v>
      </c>
      <c r="R1" s="105">
        <v>1</v>
      </c>
      <c r="S1" s="10"/>
    </row>
    <row r="2" spans="1:19" ht="29.25">
      <c r="A2" s="106" t="s">
        <v>7</v>
      </c>
      <c r="B2" s="107" t="s">
        <v>8</v>
      </c>
      <c r="C2" s="108" t="s">
        <v>9</v>
      </c>
      <c r="D2" s="90" t="s">
        <v>10</v>
      </c>
      <c r="E2" s="109" t="s">
        <v>11</v>
      </c>
      <c r="F2" s="109" t="s">
        <v>12</v>
      </c>
      <c r="G2" s="109" t="s">
        <v>13</v>
      </c>
      <c r="H2" s="110" t="s">
        <v>14</v>
      </c>
      <c r="I2" s="111" t="s">
        <v>14</v>
      </c>
      <c r="J2" s="111" t="s">
        <v>14</v>
      </c>
      <c r="K2" s="112" t="s">
        <v>14</v>
      </c>
      <c r="L2" s="111" t="s">
        <v>14</v>
      </c>
      <c r="M2" s="111" t="s">
        <v>14</v>
      </c>
      <c r="N2" s="111" t="s">
        <v>14</v>
      </c>
      <c r="O2" s="111" t="s">
        <v>14</v>
      </c>
      <c r="P2" s="111" t="s">
        <v>14</v>
      </c>
      <c r="Q2" s="111" t="s">
        <v>14</v>
      </c>
      <c r="R2" s="111" t="s">
        <v>14</v>
      </c>
      <c r="S2" s="10"/>
    </row>
    <row r="3" spans="1:19" ht="29.25">
      <c r="A3" s="106" t="s">
        <v>15</v>
      </c>
      <c r="B3" s="107" t="s">
        <v>16</v>
      </c>
      <c r="C3" s="108" t="s">
        <v>17</v>
      </c>
      <c r="D3" s="108" t="s">
        <v>18</v>
      </c>
      <c r="E3" s="109" t="s">
        <v>19</v>
      </c>
      <c r="F3" s="109" t="s">
        <v>20</v>
      </c>
      <c r="G3" s="109" t="s">
        <v>21</v>
      </c>
      <c r="H3" s="111" t="s">
        <v>14</v>
      </c>
      <c r="I3" s="110" t="s">
        <v>14</v>
      </c>
      <c r="J3" s="112" t="s">
        <v>14</v>
      </c>
      <c r="K3" s="111" t="s">
        <v>14</v>
      </c>
      <c r="L3" s="111" t="s">
        <v>14</v>
      </c>
      <c r="M3" s="111" t="s">
        <v>14</v>
      </c>
      <c r="N3" s="111" t="s">
        <v>14</v>
      </c>
      <c r="O3" s="111" t="s">
        <v>14</v>
      </c>
      <c r="P3" s="111" t="s">
        <v>14</v>
      </c>
      <c r="Q3" s="111" t="s">
        <v>14</v>
      </c>
      <c r="R3" s="111" t="s">
        <v>14</v>
      </c>
      <c r="S3" s="10"/>
    </row>
    <row r="4" spans="1:19" ht="29.25">
      <c r="A4" s="106" t="s">
        <v>22</v>
      </c>
      <c r="B4" s="109" t="s">
        <v>23</v>
      </c>
      <c r="C4" s="109" t="s">
        <v>24</v>
      </c>
      <c r="D4" s="109" t="s">
        <v>25</v>
      </c>
      <c r="E4" s="109" t="s">
        <v>26</v>
      </c>
      <c r="F4" s="109" t="s">
        <v>27</v>
      </c>
      <c r="G4" s="109" t="s">
        <v>28</v>
      </c>
      <c r="H4" s="112" t="s">
        <v>14</v>
      </c>
      <c r="I4" s="112" t="s">
        <v>14</v>
      </c>
      <c r="J4" s="110" t="s">
        <v>14</v>
      </c>
      <c r="K4" s="111" t="s">
        <v>14</v>
      </c>
      <c r="L4" s="111" t="s">
        <v>14</v>
      </c>
      <c r="M4" s="111" t="s">
        <v>14</v>
      </c>
      <c r="N4" s="111" t="s">
        <v>14</v>
      </c>
      <c r="O4" s="111" t="s">
        <v>14</v>
      </c>
      <c r="P4" s="111" t="s">
        <v>14</v>
      </c>
      <c r="Q4" s="111" t="s">
        <v>14</v>
      </c>
      <c r="R4" s="111" t="s">
        <v>14</v>
      </c>
      <c r="S4" s="10"/>
    </row>
    <row r="5" spans="1:19" ht="29.25">
      <c r="A5" s="106" t="s">
        <v>29</v>
      </c>
      <c r="B5" s="109" t="s">
        <v>30</v>
      </c>
      <c r="C5" s="109" t="s">
        <v>31</v>
      </c>
      <c r="D5" s="109" t="s">
        <v>32</v>
      </c>
      <c r="E5" s="109" t="s">
        <v>33</v>
      </c>
      <c r="F5" s="109" t="s">
        <v>34</v>
      </c>
      <c r="G5" s="109" t="s">
        <v>35</v>
      </c>
      <c r="H5" s="112" t="s">
        <v>14</v>
      </c>
      <c r="I5" s="112" t="s">
        <v>14</v>
      </c>
      <c r="J5" s="112" t="s">
        <v>14</v>
      </c>
      <c r="K5" s="110" t="s">
        <v>14</v>
      </c>
      <c r="L5" s="111" t="s">
        <v>14</v>
      </c>
      <c r="M5" s="111" t="s">
        <v>14</v>
      </c>
      <c r="N5" s="111" t="s">
        <v>14</v>
      </c>
      <c r="O5" s="111" t="s">
        <v>14</v>
      </c>
      <c r="P5" s="111" t="s">
        <v>14</v>
      </c>
      <c r="Q5" s="111" t="s">
        <v>14</v>
      </c>
      <c r="R5" s="111" t="s">
        <v>14</v>
      </c>
      <c r="S5" s="10"/>
    </row>
    <row r="6" spans="1:19" ht="29.25">
      <c r="A6" s="106" t="s">
        <v>36</v>
      </c>
      <c r="B6" s="109" t="s">
        <v>37</v>
      </c>
      <c r="C6" s="109" t="s">
        <v>38</v>
      </c>
      <c r="D6" s="109" t="s">
        <v>39</v>
      </c>
      <c r="E6" s="109" t="s">
        <v>40</v>
      </c>
      <c r="F6" s="109" t="s">
        <v>41</v>
      </c>
      <c r="G6" s="109" t="s">
        <v>42</v>
      </c>
      <c r="H6" s="112" t="s">
        <v>14</v>
      </c>
      <c r="I6" s="111" t="s">
        <v>14</v>
      </c>
      <c r="J6" s="111" t="s">
        <v>14</v>
      </c>
      <c r="K6" s="111" t="s">
        <v>14</v>
      </c>
      <c r="L6" s="110" t="s">
        <v>14</v>
      </c>
      <c r="M6" s="111" t="s">
        <v>14</v>
      </c>
      <c r="N6" s="111" t="s">
        <v>14</v>
      </c>
      <c r="O6" s="111" t="s">
        <v>14</v>
      </c>
      <c r="P6" s="111" t="s">
        <v>14</v>
      </c>
      <c r="Q6" s="111" t="s">
        <v>14</v>
      </c>
      <c r="R6" s="111" t="s">
        <v>14</v>
      </c>
      <c r="S6" s="10"/>
    </row>
    <row r="7" spans="1:19" ht="29.25">
      <c r="A7" s="106" t="s">
        <v>43</v>
      </c>
      <c r="B7" s="109" t="s">
        <v>44</v>
      </c>
      <c r="C7" s="109" t="s">
        <v>45</v>
      </c>
      <c r="D7" s="109" t="s">
        <v>46</v>
      </c>
      <c r="E7" s="109" t="s">
        <v>47</v>
      </c>
      <c r="F7" s="109" t="s">
        <v>48</v>
      </c>
      <c r="G7" s="109" t="s">
        <v>49</v>
      </c>
      <c r="H7" s="111" t="s">
        <v>14</v>
      </c>
      <c r="I7" s="111" t="s">
        <v>14</v>
      </c>
      <c r="J7" s="111" t="s">
        <v>14</v>
      </c>
      <c r="K7" s="111" t="s">
        <v>14</v>
      </c>
      <c r="L7" s="111" t="s">
        <v>14</v>
      </c>
      <c r="M7" s="110" t="s">
        <v>14</v>
      </c>
      <c r="N7" s="111" t="s">
        <v>14</v>
      </c>
      <c r="O7" s="111" t="s">
        <v>14</v>
      </c>
      <c r="P7" s="111" t="s">
        <v>14</v>
      </c>
      <c r="Q7" s="111" t="s">
        <v>14</v>
      </c>
      <c r="R7" s="111" t="s">
        <v>14</v>
      </c>
      <c r="S7" s="10"/>
    </row>
    <row r="8" spans="1:19" ht="29.25">
      <c r="A8" s="106" t="s">
        <v>50</v>
      </c>
      <c r="B8" s="109" t="s">
        <v>51</v>
      </c>
      <c r="C8" s="109" t="s">
        <v>52</v>
      </c>
      <c r="D8" s="109" t="s">
        <v>53</v>
      </c>
      <c r="E8" s="109" t="s">
        <v>54</v>
      </c>
      <c r="F8" s="109" t="s">
        <v>55</v>
      </c>
      <c r="G8" s="109" t="s">
        <v>56</v>
      </c>
      <c r="H8" s="111" t="s">
        <v>14</v>
      </c>
      <c r="I8" s="111" t="s">
        <v>14</v>
      </c>
      <c r="J8" s="111" t="s">
        <v>14</v>
      </c>
      <c r="K8" s="111" t="s">
        <v>14</v>
      </c>
      <c r="L8" s="112" t="s">
        <v>14</v>
      </c>
      <c r="M8" s="111" t="s">
        <v>14</v>
      </c>
      <c r="N8" s="110" t="s">
        <v>14</v>
      </c>
      <c r="O8" s="111" t="s">
        <v>14</v>
      </c>
      <c r="P8" s="111" t="s">
        <v>14</v>
      </c>
      <c r="Q8" s="111" t="s">
        <v>14</v>
      </c>
      <c r="R8" s="111" t="s">
        <v>14</v>
      </c>
      <c r="S8" s="10"/>
    </row>
    <row r="9" spans="1:19" ht="29.25">
      <c r="A9" s="106" t="s">
        <v>57</v>
      </c>
      <c r="B9" s="109" t="s">
        <v>58</v>
      </c>
      <c r="C9" s="109" t="s">
        <v>59</v>
      </c>
      <c r="D9" s="109" t="s">
        <v>60</v>
      </c>
      <c r="E9" s="109" t="s">
        <v>61</v>
      </c>
      <c r="F9" s="109" t="s">
        <v>62</v>
      </c>
      <c r="G9" s="109" t="s">
        <v>63</v>
      </c>
      <c r="H9" s="112" t="s">
        <v>14</v>
      </c>
      <c r="I9" s="111" t="s">
        <v>14</v>
      </c>
      <c r="J9" s="111" t="s">
        <v>14</v>
      </c>
      <c r="K9" s="111" t="s">
        <v>14</v>
      </c>
      <c r="L9" s="111" t="s">
        <v>14</v>
      </c>
      <c r="M9" s="111" t="s">
        <v>14</v>
      </c>
      <c r="N9" s="111" t="s">
        <v>14</v>
      </c>
      <c r="O9" s="110" t="s">
        <v>14</v>
      </c>
      <c r="P9" s="111" t="s">
        <v>14</v>
      </c>
      <c r="Q9" s="111" t="s">
        <v>14</v>
      </c>
      <c r="R9" s="111" t="s">
        <v>14</v>
      </c>
      <c r="S9" s="10"/>
    </row>
    <row r="10" spans="1:19" ht="29.25">
      <c r="A10" s="106" t="s">
        <v>64</v>
      </c>
      <c r="B10" s="109" t="s">
        <v>65</v>
      </c>
      <c r="C10" s="109" t="s">
        <v>66</v>
      </c>
      <c r="D10" s="109" t="s">
        <v>67</v>
      </c>
      <c r="E10" s="109" t="s">
        <v>68</v>
      </c>
      <c r="F10" s="109" t="s">
        <v>69</v>
      </c>
      <c r="G10" s="109" t="s">
        <v>70</v>
      </c>
      <c r="H10" s="111" t="s">
        <v>14</v>
      </c>
      <c r="I10" s="112" t="s">
        <v>14</v>
      </c>
      <c r="J10" s="111" t="s">
        <v>14</v>
      </c>
      <c r="K10" s="112" t="s">
        <v>14</v>
      </c>
      <c r="L10" s="111" t="s">
        <v>14</v>
      </c>
      <c r="M10" s="111" t="s">
        <v>14</v>
      </c>
      <c r="N10" s="111" t="s">
        <v>14</v>
      </c>
      <c r="O10" s="111" t="s">
        <v>14</v>
      </c>
      <c r="P10" s="110" t="s">
        <v>14</v>
      </c>
      <c r="Q10" s="111" t="s">
        <v>14</v>
      </c>
      <c r="R10" s="111" t="s">
        <v>14</v>
      </c>
      <c r="S10" s="10"/>
    </row>
    <row r="11" spans="1:19" ht="29.25">
      <c r="A11" s="106" t="s">
        <v>71</v>
      </c>
      <c r="B11" s="109" t="s">
        <v>72</v>
      </c>
      <c r="C11" s="109" t="s">
        <v>73</v>
      </c>
      <c r="D11" s="109" t="s">
        <v>74</v>
      </c>
      <c r="E11" s="109" t="s">
        <v>75</v>
      </c>
      <c r="F11" s="109" t="s">
        <v>76</v>
      </c>
      <c r="G11" s="109" t="s">
        <v>77</v>
      </c>
      <c r="H11" s="111" t="s">
        <v>14</v>
      </c>
      <c r="I11" s="111" t="s">
        <v>14</v>
      </c>
      <c r="J11" s="111" t="s">
        <v>14</v>
      </c>
      <c r="K11" s="112" t="s">
        <v>14</v>
      </c>
      <c r="L11" s="111" t="s">
        <v>14</v>
      </c>
      <c r="M11" s="111" t="s">
        <v>14</v>
      </c>
      <c r="N11" s="111" t="s">
        <v>14</v>
      </c>
      <c r="O11" s="111" t="s">
        <v>14</v>
      </c>
      <c r="P11" s="111" t="s">
        <v>14</v>
      </c>
      <c r="Q11" s="113" t="s">
        <v>14</v>
      </c>
      <c r="R11" s="114" t="s">
        <v>14</v>
      </c>
      <c r="S11" s="10"/>
    </row>
    <row r="12" spans="1:19" ht="15" customHeight="1">
      <c r="A12" s="106" t="s">
        <v>78</v>
      </c>
      <c r="B12" s="109" t="s">
        <v>79</v>
      </c>
      <c r="C12" s="109" t="s">
        <v>80</v>
      </c>
      <c r="D12" s="109" t="s">
        <v>81</v>
      </c>
      <c r="E12" s="109" t="s">
        <v>82</v>
      </c>
      <c r="F12" s="109" t="s">
        <v>83</v>
      </c>
      <c r="G12" s="109" t="s">
        <v>77</v>
      </c>
      <c r="H12" s="111" t="s">
        <v>14</v>
      </c>
      <c r="I12" s="111" t="s">
        <v>14</v>
      </c>
      <c r="J12" s="111" t="s">
        <v>14</v>
      </c>
      <c r="K12" s="112" t="s">
        <v>14</v>
      </c>
      <c r="L12" s="111" t="s">
        <v>14</v>
      </c>
      <c r="M12" s="111" t="s">
        <v>14</v>
      </c>
      <c r="N12" s="111" t="s">
        <v>14</v>
      </c>
      <c r="O12" s="111" t="s">
        <v>14</v>
      </c>
      <c r="P12" s="111" t="s">
        <v>14</v>
      </c>
      <c r="Q12" s="111" t="s">
        <v>14</v>
      </c>
      <c r="R12" s="110"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4"/>
  <sheetViews>
    <sheetView zoomScaleNormal="100" zoomScaleSheetLayoutView="100" workbookViewId="0">
      <selection activeCell="C17" sqref="C17"/>
    </sheetView>
  </sheetViews>
  <sheetFormatPr defaultColWidth="8.85546875" defaultRowHeight="14.45"/>
  <cols>
    <col min="1" max="2" width="26" bestFit="1" customWidth="1"/>
    <col min="3" max="3" width="11" bestFit="1" customWidth="1"/>
    <col min="4" max="4" width="9.28515625" bestFit="1" customWidth="1"/>
    <col min="5" max="5" width="17.7109375" bestFit="1" customWidth="1"/>
    <col min="6" max="6" width="18.140625" style="2" customWidth="1"/>
    <col min="7" max="7" width="4.42578125" bestFit="1" customWidth="1"/>
  </cols>
  <sheetData>
    <row r="1" spans="1:9" ht="15">
      <c r="A1" s="115" t="s">
        <v>84</v>
      </c>
      <c r="B1" s="14" t="s">
        <v>85</v>
      </c>
      <c r="C1" s="13" t="s">
        <v>86</v>
      </c>
      <c r="D1" s="16" t="s">
        <v>87</v>
      </c>
      <c r="E1" s="12" t="s">
        <v>88</v>
      </c>
      <c r="F1" s="116" t="s">
        <v>89</v>
      </c>
      <c r="G1" s="90"/>
      <c r="H1" s="10"/>
    </row>
    <row r="2" spans="1:9" ht="15">
      <c r="A2" s="117" t="s">
        <v>8</v>
      </c>
      <c r="B2" s="100">
        <v>9</v>
      </c>
      <c r="C2" s="118">
        <v>11</v>
      </c>
      <c r="D2" s="119">
        <v>11</v>
      </c>
      <c r="E2" s="120">
        <v>11</v>
      </c>
      <c r="F2" s="121">
        <f>G2/G13</f>
        <v>0.15909090909090909</v>
      </c>
      <c r="G2" s="90">
        <f>SUM(B2:E2)</f>
        <v>42</v>
      </c>
      <c r="H2" s="10"/>
    </row>
    <row r="3" spans="1:9" ht="15">
      <c r="A3" s="122" t="s">
        <v>16</v>
      </c>
      <c r="B3" s="100">
        <v>11</v>
      </c>
      <c r="C3" s="118">
        <v>8</v>
      </c>
      <c r="D3" s="119">
        <v>9</v>
      </c>
      <c r="E3" s="120">
        <v>7</v>
      </c>
      <c r="F3" s="121">
        <f>G3/G13</f>
        <v>0.13257575757575757</v>
      </c>
      <c r="G3" s="90">
        <f>SUM(B3:E3)</f>
        <v>35</v>
      </c>
      <c r="H3" s="10"/>
    </row>
    <row r="4" spans="1:9" ht="15">
      <c r="A4" s="117" t="s">
        <v>23</v>
      </c>
      <c r="B4" s="100">
        <v>8</v>
      </c>
      <c r="C4" s="118">
        <v>10</v>
      </c>
      <c r="D4" s="119">
        <v>10</v>
      </c>
      <c r="E4" s="120">
        <v>10</v>
      </c>
      <c r="F4" s="121">
        <f>G4/G13</f>
        <v>0.14393939393939395</v>
      </c>
      <c r="G4" s="90">
        <f>SUM(B4:E4)</f>
        <v>38</v>
      </c>
      <c r="H4" s="10"/>
    </row>
    <row r="5" spans="1:9" ht="15">
      <c r="A5" s="117" t="s">
        <v>30</v>
      </c>
      <c r="B5" s="15">
        <v>10</v>
      </c>
      <c r="C5" s="118">
        <v>9</v>
      </c>
      <c r="D5" s="119">
        <v>8</v>
      </c>
      <c r="E5" s="120">
        <v>9</v>
      </c>
      <c r="F5" s="121">
        <f>G5/G13</f>
        <v>0.13636363636363635</v>
      </c>
      <c r="G5" s="90">
        <f>SUM(B5:E5)</f>
        <v>36</v>
      </c>
      <c r="H5" s="10"/>
      <c r="I5" s="1"/>
    </row>
    <row r="6" spans="1:9" ht="15">
      <c r="A6" s="117" t="s">
        <v>37</v>
      </c>
      <c r="B6" s="15">
        <v>7</v>
      </c>
      <c r="C6" s="118">
        <v>3</v>
      </c>
      <c r="D6" s="125">
        <v>4</v>
      </c>
      <c r="E6" s="120">
        <v>4</v>
      </c>
      <c r="F6" s="121">
        <f>G6/G13</f>
        <v>6.8181818181818177E-2</v>
      </c>
      <c r="G6" s="90">
        <f t="shared" ref="G6:G13" si="0">SUM(B6:E6)</f>
        <v>18</v>
      </c>
      <c r="H6" s="10"/>
    </row>
    <row r="7" spans="1:9" ht="15">
      <c r="A7" s="117" t="s">
        <v>44</v>
      </c>
      <c r="B7" s="100">
        <v>3</v>
      </c>
      <c r="C7" s="118">
        <v>6</v>
      </c>
      <c r="D7" s="119">
        <v>5</v>
      </c>
      <c r="E7" s="120">
        <v>6</v>
      </c>
      <c r="F7" s="121">
        <f>G7/G13</f>
        <v>7.575757575757576E-2</v>
      </c>
      <c r="G7" s="90">
        <f t="shared" si="0"/>
        <v>20</v>
      </c>
      <c r="H7" s="10"/>
    </row>
    <row r="8" spans="1:9" ht="15">
      <c r="A8" s="117" t="s">
        <v>90</v>
      </c>
      <c r="B8" s="100">
        <v>4</v>
      </c>
      <c r="C8" s="118">
        <v>5</v>
      </c>
      <c r="D8" s="119">
        <v>3</v>
      </c>
      <c r="E8" s="120">
        <v>5</v>
      </c>
      <c r="F8" s="121">
        <f>G8/G13</f>
        <v>6.4393939393939392E-2</v>
      </c>
      <c r="G8" s="90">
        <f t="shared" si="0"/>
        <v>17</v>
      </c>
      <c r="H8" s="10"/>
    </row>
    <row r="9" spans="1:9" ht="24.75" customHeight="1">
      <c r="A9" s="117" t="s">
        <v>58</v>
      </c>
      <c r="B9" s="15">
        <v>6</v>
      </c>
      <c r="C9" s="118">
        <v>2</v>
      </c>
      <c r="D9" s="119">
        <v>2</v>
      </c>
      <c r="E9" s="126">
        <v>8</v>
      </c>
      <c r="F9" s="123">
        <f>G9/G13</f>
        <v>6.8181818181818177E-2</v>
      </c>
      <c r="G9" s="90">
        <f t="shared" si="0"/>
        <v>18</v>
      </c>
      <c r="H9" s="10"/>
    </row>
    <row r="10" spans="1:9" ht="15">
      <c r="A10" s="117" t="s">
        <v>65</v>
      </c>
      <c r="B10" s="15">
        <v>5</v>
      </c>
      <c r="C10" s="124">
        <v>7</v>
      </c>
      <c r="D10" s="119">
        <v>7</v>
      </c>
      <c r="E10" s="126">
        <v>3</v>
      </c>
      <c r="F10" s="123">
        <f>G10/G13</f>
        <v>8.3333333333333329E-2</v>
      </c>
      <c r="G10" s="90">
        <f t="shared" si="0"/>
        <v>22</v>
      </c>
      <c r="H10" s="10"/>
    </row>
    <row r="11" spans="1:9" ht="15">
      <c r="A11" s="117" t="s">
        <v>72</v>
      </c>
      <c r="B11" s="15">
        <v>2</v>
      </c>
      <c r="C11" s="124">
        <v>4</v>
      </c>
      <c r="D11" s="125">
        <v>6</v>
      </c>
      <c r="E11" s="126">
        <v>2</v>
      </c>
      <c r="F11" s="123">
        <f>G11/G13</f>
        <v>5.3030303030303032E-2</v>
      </c>
      <c r="G11" s="90">
        <f t="shared" si="0"/>
        <v>14</v>
      </c>
      <c r="H11" s="10"/>
      <c r="I11" t="s">
        <v>91</v>
      </c>
    </row>
    <row r="12" spans="1:9" ht="15">
      <c r="A12" s="117" t="s">
        <v>79</v>
      </c>
      <c r="B12" s="15">
        <v>1</v>
      </c>
      <c r="C12" s="124">
        <v>1</v>
      </c>
      <c r="D12" s="125">
        <v>1</v>
      </c>
      <c r="E12" s="126">
        <v>1</v>
      </c>
      <c r="F12" s="123">
        <f>G12/G13</f>
        <v>1.5151515151515152E-2</v>
      </c>
      <c r="G12" s="90">
        <f t="shared" si="0"/>
        <v>4</v>
      </c>
      <c r="H12" s="10"/>
    </row>
    <row r="13" spans="1:9" ht="15">
      <c r="A13" s="92"/>
      <c r="B13" s="15">
        <f>SUM(B2:B12)</f>
        <v>66</v>
      </c>
      <c r="C13" s="124">
        <f>SUM(C2:C12)</f>
        <v>66</v>
      </c>
      <c r="D13" s="125">
        <f>SUM(D2:D12)</f>
        <v>66</v>
      </c>
      <c r="E13" s="126">
        <f>SUM(E2:E12)</f>
        <v>66</v>
      </c>
      <c r="F13" s="123">
        <f>SUM(F6:F12)</f>
        <v>0.42803030303030298</v>
      </c>
      <c r="G13" s="90">
        <f t="shared" si="0"/>
        <v>264</v>
      </c>
      <c r="H13" s="10"/>
    </row>
    <row r="14" spans="1:9" ht="15">
      <c r="A14" s="10"/>
      <c r="B14" s="10"/>
      <c r="C14" s="10"/>
      <c r="D14" s="10"/>
      <c r="E14" s="10"/>
      <c r="F14" s="99"/>
      <c r="G14" s="10"/>
    </row>
    <row r="15" spans="1:9" ht="15"/>
    <row r="16" spans="1:9" ht="15">
      <c r="F16" s="2" t="s">
        <v>91</v>
      </c>
    </row>
    <row r="17" spans="6:6" ht="15"/>
    <row r="18" spans="6:6" ht="15"/>
    <row r="19" spans="6:6" ht="15"/>
    <row r="20" spans="6:6" ht="15"/>
    <row r="21" spans="6:6" ht="15"/>
    <row r="22" spans="6:6" ht="15"/>
    <row r="23" spans="6:6" ht="15"/>
    <row r="24" spans="6:6" ht="15"/>
    <row r="25" spans="6:6" ht="15"/>
    <row r="26" spans="6:6" ht="15"/>
    <row r="27" spans="6:6" ht="15"/>
    <row r="28" spans="6:6" ht="15">
      <c r="F28"/>
    </row>
    <row r="29" spans="6:6" ht="15">
      <c r="F29"/>
    </row>
    <row r="30" spans="6:6" ht="15">
      <c r="F30"/>
    </row>
    <row r="31" spans="6:6" ht="15">
      <c r="F31"/>
    </row>
    <row r="32" spans="6:6" ht="15">
      <c r="F32"/>
    </row>
    <row r="33" spans="6:6" ht="15">
      <c r="F33"/>
    </row>
    <row r="34" spans="6:6" ht="15">
      <c r="F34"/>
    </row>
    <row r="35" spans="6:6" ht="15">
      <c r="F35"/>
    </row>
    <row r="36" spans="6:6" ht="15">
      <c r="F36"/>
    </row>
    <row r="37" spans="6:6" ht="15">
      <c r="F37"/>
    </row>
    <row r="38" spans="6:6" ht="15">
      <c r="F38"/>
    </row>
    <row r="39" spans="6:6" ht="15">
      <c r="F39"/>
    </row>
    <row r="40" spans="6:6" ht="15">
      <c r="F40"/>
    </row>
    <row r="41" spans="6:6" ht="15">
      <c r="F41"/>
    </row>
    <row r="42" spans="6:6" ht="15">
      <c r="F42"/>
    </row>
    <row r="43" spans="6:6" ht="15">
      <c r="F43"/>
    </row>
    <row r="44" spans="6:6" ht="15">
      <c r="F44"/>
    </row>
    <row r="45" spans="6:6" ht="15">
      <c r="F45"/>
    </row>
    <row r="46" spans="6:6" ht="15">
      <c r="F46"/>
    </row>
    <row r="47" spans="6:6" ht="15">
      <c r="F47"/>
    </row>
    <row r="48" spans="6:6" ht="15">
      <c r="F48"/>
    </row>
    <row r="49" spans="6:6" ht="15">
      <c r="F49"/>
    </row>
    <row r="50" spans="6:6" ht="15">
      <c r="F50"/>
    </row>
    <row r="51" spans="6:6" ht="15">
      <c r="F51"/>
    </row>
    <row r="52" spans="6:6" ht="15">
      <c r="F52"/>
    </row>
    <row r="53" spans="6:6" ht="15">
      <c r="F53"/>
    </row>
    <row r="54" spans="6:6" ht="15">
      <c r="F54"/>
    </row>
    <row r="55" spans="6:6" ht="15">
      <c r="F55"/>
    </row>
    <row r="56" spans="6:6" ht="15">
      <c r="F56"/>
    </row>
    <row r="57" spans="6:6" ht="15">
      <c r="F57"/>
    </row>
    <row r="58" spans="6:6" ht="15"/>
    <row r="59" spans="6:6" ht="15"/>
    <row r="62" spans="6:6" ht="15"/>
    <row r="63" spans="6:6" ht="15"/>
    <row r="64" spans="6:6" 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topLeftCell="D1" zoomScaleNormal="100" zoomScaleSheetLayoutView="100" workbookViewId="0">
      <selection activeCell="D8" sqref="D8"/>
    </sheetView>
  </sheetViews>
  <sheetFormatPr defaultColWidth="8.85546875" defaultRowHeight="14.45"/>
  <cols>
    <col min="1" max="1" width="17" bestFit="1" customWidth="1"/>
    <col min="2" max="2" width="62.140625" bestFit="1" customWidth="1"/>
    <col min="3" max="3" width="63.7109375" customWidth="1"/>
    <col min="4" max="4" width="52.140625" bestFit="1" customWidth="1"/>
    <col min="5" max="5" width="49.7109375" bestFit="1" customWidth="1"/>
  </cols>
  <sheetData>
    <row r="1" spans="1:7" ht="15">
      <c r="A1" s="75" t="s">
        <v>92</v>
      </c>
      <c r="B1" s="75" t="s">
        <v>93</v>
      </c>
      <c r="C1" s="75" t="s">
        <v>94</v>
      </c>
      <c r="D1" s="75" t="s">
        <v>95</v>
      </c>
      <c r="E1" s="75" t="s">
        <v>96</v>
      </c>
      <c r="F1" s="3"/>
      <c r="G1" s="3"/>
    </row>
    <row r="2" spans="1:7" ht="43.5">
      <c r="A2" s="76" t="s">
        <v>85</v>
      </c>
      <c r="B2" s="77" t="s">
        <v>97</v>
      </c>
      <c r="C2" s="77" t="s">
        <v>98</v>
      </c>
      <c r="D2" s="77" t="s">
        <v>99</v>
      </c>
      <c r="E2" s="77" t="s">
        <v>100</v>
      </c>
      <c r="F2" s="3"/>
      <c r="G2" s="3"/>
    </row>
    <row r="3" spans="1:7" ht="43.5">
      <c r="A3" s="78" t="s">
        <v>101</v>
      </c>
      <c r="B3" s="79" t="s">
        <v>102</v>
      </c>
      <c r="C3" s="79" t="s">
        <v>103</v>
      </c>
      <c r="D3" s="79" t="s">
        <v>104</v>
      </c>
      <c r="E3" s="79" t="s">
        <v>105</v>
      </c>
      <c r="F3" s="3"/>
      <c r="G3" s="3"/>
    </row>
    <row r="4" spans="1:7" ht="43.5">
      <c r="A4" s="80" t="s">
        <v>106</v>
      </c>
      <c r="B4" s="81" t="s">
        <v>107</v>
      </c>
      <c r="C4" s="89" t="s">
        <v>108</v>
      </c>
      <c r="D4" s="81" t="s">
        <v>109</v>
      </c>
      <c r="E4" s="81" t="s">
        <v>110</v>
      </c>
      <c r="F4" s="3"/>
      <c r="G4" s="3"/>
    </row>
    <row r="5" spans="1:7" ht="43.5">
      <c r="A5" s="82" t="s">
        <v>88</v>
      </c>
      <c r="B5" s="83" t="s">
        <v>111</v>
      </c>
      <c r="C5" s="83" t="s">
        <v>112</v>
      </c>
      <c r="D5" s="83" t="s">
        <v>113</v>
      </c>
      <c r="E5" s="83" t="s">
        <v>114</v>
      </c>
      <c r="F5" s="3"/>
      <c r="G5" s="3"/>
    </row>
    <row r="6" spans="1:7">
      <c r="A6" s="3"/>
      <c r="B6" s="3"/>
      <c r="C6" s="3"/>
      <c r="D6" s="3"/>
      <c r="E6" s="3"/>
      <c r="F6" s="3"/>
      <c r="G6" s="3"/>
    </row>
    <row r="7" spans="1:7">
      <c r="A7" s="3"/>
      <c r="B7" s="3"/>
      <c r="C7" s="3"/>
      <c r="D7" s="3"/>
      <c r="E7" s="3"/>
      <c r="F7" s="3"/>
      <c r="G7" s="3"/>
    </row>
    <row r="8" spans="1:7">
      <c r="A8" s="3"/>
      <c r="B8" s="3"/>
      <c r="C8" s="3"/>
      <c r="D8" s="3"/>
      <c r="E8" s="3"/>
      <c r="F8" s="3"/>
      <c r="G8" s="3"/>
    </row>
    <row r="9" spans="1:7">
      <c r="A9" s="3"/>
      <c r="B9" s="3"/>
      <c r="C9" s="3"/>
      <c r="D9" s="3"/>
      <c r="E9" s="3"/>
      <c r="F9" s="3"/>
      <c r="G9" s="3"/>
    </row>
    <row r="10" spans="1:7">
      <c r="A10" s="3"/>
      <c r="B10" s="3"/>
      <c r="C10" s="3"/>
      <c r="D10" s="3"/>
      <c r="E10" s="3"/>
      <c r="F10" s="3"/>
      <c r="G10" s="3"/>
    </row>
    <row r="11" spans="1:7">
      <c r="A11" s="3"/>
      <c r="B11" s="3"/>
      <c r="C11" s="3"/>
      <c r="D11" s="3"/>
      <c r="E11" s="3"/>
      <c r="F11" s="3"/>
      <c r="G11" s="3"/>
    </row>
    <row r="12" spans="1:7">
      <c r="A12" s="3"/>
      <c r="B12" s="3"/>
      <c r="C12" s="3"/>
      <c r="D12" s="3"/>
      <c r="E12" s="3"/>
      <c r="F12" s="3"/>
      <c r="G12" s="3"/>
    </row>
    <row r="13" spans="1:7">
      <c r="A13" s="3"/>
      <c r="B13" s="3"/>
      <c r="C13" s="3"/>
      <c r="D13" s="3"/>
      <c r="E13" s="3"/>
      <c r="F13" s="3"/>
      <c r="G13" s="3"/>
    </row>
    <row r="14" spans="1:7">
      <c r="A14" s="3"/>
      <c r="B14" s="3"/>
      <c r="C14" s="3"/>
      <c r="D14" s="3"/>
      <c r="E14" s="3"/>
      <c r="F14" s="3"/>
      <c r="G14" s="3"/>
    </row>
    <row r="15" spans="1:7">
      <c r="A15" s="3"/>
      <c r="B15" s="3"/>
      <c r="C15" s="3"/>
      <c r="D15" s="3"/>
      <c r="E15" s="3"/>
      <c r="F15" s="3"/>
      <c r="G15" s="3"/>
    </row>
    <row r="16" spans="1:7">
      <c r="A16" s="3"/>
      <c r="B16" s="3"/>
      <c r="C16" s="3"/>
      <c r="D16" s="3"/>
      <c r="E16" s="3"/>
      <c r="F16" s="3"/>
      <c r="G16" s="3"/>
    </row>
    <row r="17" spans="1:7">
      <c r="A17" s="3"/>
      <c r="B17" s="3"/>
      <c r="C17" s="3"/>
      <c r="D17" s="3"/>
      <c r="E17" s="3"/>
      <c r="F17" s="3"/>
      <c r="G1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7"/>
  <sheetViews>
    <sheetView zoomScaleNormal="100" zoomScaleSheetLayoutView="100" workbookViewId="0">
      <selection sqref="A1:E1"/>
    </sheetView>
  </sheetViews>
  <sheetFormatPr defaultColWidth="8.85546875" defaultRowHeight="14.45"/>
  <cols>
    <col min="1" max="1" width="18.5703125" customWidth="1"/>
    <col min="2" max="2" width="8.85546875" customWidth="1"/>
    <col min="3" max="3" width="15" customWidth="1"/>
    <col min="4" max="4" width="31.140625" customWidth="1"/>
    <col min="5" max="5" width="144.42578125" customWidth="1"/>
    <col min="6" max="6" width="12.5703125" customWidth="1"/>
    <col min="16383" max="16383" width="9.140625" customWidth="1"/>
  </cols>
  <sheetData>
    <row r="1" spans="1:6" ht="21" customHeight="1">
      <c r="A1" s="145" t="s">
        <v>115</v>
      </c>
      <c r="B1" s="146"/>
      <c r="C1" s="146"/>
      <c r="D1" s="146"/>
      <c r="E1" s="147"/>
      <c r="F1" s="11"/>
    </row>
    <row r="2" spans="1:6" ht="43.5" customHeight="1">
      <c r="A2" s="73" t="s">
        <v>92</v>
      </c>
      <c r="B2" s="73" t="s">
        <v>116</v>
      </c>
      <c r="C2" s="73" t="s">
        <v>117</v>
      </c>
      <c r="D2" s="74" t="s">
        <v>118</v>
      </c>
      <c r="E2" s="74" t="s">
        <v>119</v>
      </c>
      <c r="F2" s="73" t="s">
        <v>120</v>
      </c>
    </row>
    <row r="3" spans="1:6" ht="115.5" customHeight="1">
      <c r="A3" s="94" t="s">
        <v>85</v>
      </c>
      <c r="B3" s="33">
        <v>11</v>
      </c>
      <c r="C3" s="34" t="s">
        <v>16</v>
      </c>
      <c r="D3" s="35" t="s">
        <v>121</v>
      </c>
      <c r="E3" s="36" t="s">
        <v>122</v>
      </c>
      <c r="F3" s="37">
        <v>5</v>
      </c>
    </row>
    <row r="4" spans="1:6" ht="87" customHeight="1">
      <c r="A4" s="148"/>
      <c r="B4" s="33">
        <v>10</v>
      </c>
      <c r="C4" s="34" t="s">
        <v>23</v>
      </c>
      <c r="D4" s="35" t="s">
        <v>123</v>
      </c>
      <c r="E4" s="36" t="s">
        <v>124</v>
      </c>
      <c r="F4" s="38">
        <v>1</v>
      </c>
    </row>
    <row r="5" spans="1:6" ht="72.75" customHeight="1">
      <c r="A5" s="148"/>
      <c r="B5" s="33">
        <v>9</v>
      </c>
      <c r="C5" s="34" t="s">
        <v>8</v>
      </c>
      <c r="D5" s="35" t="s">
        <v>125</v>
      </c>
      <c r="E5" s="36" t="s">
        <v>126</v>
      </c>
      <c r="F5" s="38">
        <v>0</v>
      </c>
    </row>
    <row r="6" spans="1:6" ht="72.75" customHeight="1">
      <c r="A6" s="148"/>
      <c r="B6" s="39">
        <v>8</v>
      </c>
      <c r="C6" s="34" t="s">
        <v>30</v>
      </c>
      <c r="D6" s="35" t="s">
        <v>127</v>
      </c>
      <c r="E6" s="36" t="s">
        <v>128</v>
      </c>
      <c r="F6" s="38">
        <v>0</v>
      </c>
    </row>
    <row r="7" spans="1:6" ht="72.75" customHeight="1">
      <c r="A7" s="148"/>
      <c r="B7" s="39">
        <v>7</v>
      </c>
      <c r="C7" s="34" t="s">
        <v>58</v>
      </c>
      <c r="D7" s="35" t="s">
        <v>129</v>
      </c>
      <c r="E7" s="36" t="s">
        <v>130</v>
      </c>
      <c r="F7" s="38">
        <v>0</v>
      </c>
    </row>
    <row r="8" spans="1:6" ht="72.75" customHeight="1">
      <c r="A8" s="148"/>
      <c r="B8" s="39">
        <v>6</v>
      </c>
      <c r="C8" s="34" t="s">
        <v>131</v>
      </c>
      <c r="D8" s="35" t="s">
        <v>132</v>
      </c>
      <c r="E8" s="36" t="s">
        <v>133</v>
      </c>
      <c r="F8" s="38">
        <v>0</v>
      </c>
    </row>
    <row r="9" spans="1:6" ht="57.75" customHeight="1">
      <c r="A9" s="148"/>
      <c r="B9" s="39">
        <v>5</v>
      </c>
      <c r="C9" s="34" t="s">
        <v>134</v>
      </c>
      <c r="D9" s="35" t="s">
        <v>135</v>
      </c>
      <c r="E9" s="36" t="s">
        <v>136</v>
      </c>
      <c r="F9" s="38">
        <v>0</v>
      </c>
    </row>
    <row r="10" spans="1:6" ht="72.75" customHeight="1">
      <c r="A10" s="148"/>
      <c r="B10" s="39">
        <v>4</v>
      </c>
      <c r="C10" s="34" t="s">
        <v>51</v>
      </c>
      <c r="D10" s="35" t="s">
        <v>137</v>
      </c>
      <c r="E10" s="36" t="s">
        <v>138</v>
      </c>
      <c r="F10" s="38">
        <v>0</v>
      </c>
    </row>
    <row r="11" spans="1:6" ht="72.75" customHeight="1">
      <c r="A11" s="148"/>
      <c r="B11" s="40">
        <v>3</v>
      </c>
      <c r="C11" s="34" t="s">
        <v>72</v>
      </c>
      <c r="D11" s="35" t="s">
        <v>139</v>
      </c>
      <c r="E11" s="36" t="s">
        <v>140</v>
      </c>
      <c r="F11" s="38">
        <v>0</v>
      </c>
    </row>
    <row r="12" spans="1:6" ht="72.75" customHeight="1">
      <c r="A12" s="148"/>
      <c r="B12" s="40">
        <v>2</v>
      </c>
      <c r="C12" s="34" t="s">
        <v>65</v>
      </c>
      <c r="D12" s="35" t="s">
        <v>141</v>
      </c>
      <c r="E12" s="36" t="s">
        <v>142</v>
      </c>
      <c r="F12" s="38">
        <v>0</v>
      </c>
    </row>
    <row r="13" spans="1:6" ht="72.75" customHeight="1">
      <c r="A13" s="149"/>
      <c r="B13" s="40">
        <v>1</v>
      </c>
      <c r="C13" s="34" t="s">
        <v>44</v>
      </c>
      <c r="D13" s="35" t="s">
        <v>143</v>
      </c>
      <c r="E13" s="36" t="s">
        <v>144</v>
      </c>
      <c r="F13" s="38">
        <v>0</v>
      </c>
    </row>
    <row r="14" spans="1:6" ht="72.75" customHeight="1">
      <c r="A14" s="96" t="s">
        <v>101</v>
      </c>
      <c r="B14" s="23">
        <v>11</v>
      </c>
      <c r="C14" s="17" t="s">
        <v>8</v>
      </c>
      <c r="D14" s="18" t="s">
        <v>145</v>
      </c>
      <c r="E14" s="30" t="s">
        <v>146</v>
      </c>
      <c r="F14" s="5">
        <v>4</v>
      </c>
    </row>
    <row r="15" spans="1:6" ht="72.75" customHeight="1">
      <c r="A15" s="150"/>
      <c r="B15" s="23">
        <v>10</v>
      </c>
      <c r="C15" s="17" t="s">
        <v>23</v>
      </c>
      <c r="D15" s="18" t="s">
        <v>147</v>
      </c>
      <c r="E15" s="30" t="s">
        <v>148</v>
      </c>
      <c r="F15" s="4">
        <v>1</v>
      </c>
    </row>
    <row r="16" spans="1:6" ht="72.75" customHeight="1">
      <c r="A16" s="150"/>
      <c r="B16" s="23">
        <v>9</v>
      </c>
      <c r="C16" s="17" t="s">
        <v>16</v>
      </c>
      <c r="D16" s="18" t="s">
        <v>149</v>
      </c>
      <c r="E16" s="30" t="s">
        <v>150</v>
      </c>
      <c r="F16" s="4">
        <v>0</v>
      </c>
    </row>
    <row r="17" spans="1:6" ht="72.75" customHeight="1">
      <c r="A17" s="150"/>
      <c r="B17" s="24">
        <v>8</v>
      </c>
      <c r="C17" s="17" t="s">
        <v>134</v>
      </c>
      <c r="D17" s="18" t="s">
        <v>151</v>
      </c>
      <c r="E17" s="30" t="s">
        <v>152</v>
      </c>
      <c r="F17" s="4">
        <v>0</v>
      </c>
    </row>
    <row r="18" spans="1:6" ht="72.75" customHeight="1">
      <c r="A18" s="150"/>
      <c r="B18" s="24">
        <v>7</v>
      </c>
      <c r="C18" s="17" t="s">
        <v>30</v>
      </c>
      <c r="D18" s="18" t="s">
        <v>153</v>
      </c>
      <c r="E18" s="30" t="s">
        <v>154</v>
      </c>
      <c r="F18" s="4">
        <v>0</v>
      </c>
    </row>
    <row r="19" spans="1:6" ht="57.75" customHeight="1">
      <c r="A19" s="150"/>
      <c r="B19" s="24">
        <v>6</v>
      </c>
      <c r="C19" s="17" t="s">
        <v>65</v>
      </c>
      <c r="D19" s="18" t="s">
        <v>155</v>
      </c>
      <c r="E19" s="30" t="s">
        <v>156</v>
      </c>
      <c r="F19" s="4">
        <v>0</v>
      </c>
    </row>
    <row r="20" spans="1:6" ht="72.75" customHeight="1">
      <c r="A20" s="150"/>
      <c r="B20" s="24">
        <v>5</v>
      </c>
      <c r="C20" s="17" t="s">
        <v>72</v>
      </c>
      <c r="D20" s="18" t="s">
        <v>157</v>
      </c>
      <c r="E20" s="30" t="s">
        <v>158</v>
      </c>
      <c r="F20" s="4">
        <v>0</v>
      </c>
    </row>
    <row r="21" spans="1:6" ht="72.75" customHeight="1">
      <c r="A21" s="150"/>
      <c r="B21" s="24">
        <v>4</v>
      </c>
      <c r="C21" s="17" t="s">
        <v>58</v>
      </c>
      <c r="D21" s="18" t="s">
        <v>159</v>
      </c>
      <c r="E21" s="30" t="s">
        <v>160</v>
      </c>
      <c r="F21" s="4">
        <v>0</v>
      </c>
    </row>
    <row r="22" spans="1:6" ht="57.75" customHeight="1">
      <c r="A22" s="150"/>
      <c r="B22" s="25">
        <v>3</v>
      </c>
      <c r="C22" s="17" t="s">
        <v>51</v>
      </c>
      <c r="D22" s="18" t="s">
        <v>161</v>
      </c>
      <c r="E22" s="30" t="s">
        <v>162</v>
      </c>
      <c r="F22" s="4">
        <v>0</v>
      </c>
    </row>
    <row r="23" spans="1:6" ht="57.75" customHeight="1">
      <c r="A23" s="150"/>
      <c r="B23" s="25">
        <v>2</v>
      </c>
      <c r="C23" s="17" t="s">
        <v>131</v>
      </c>
      <c r="D23" s="18" t="s">
        <v>163</v>
      </c>
      <c r="E23" s="30" t="s">
        <v>164</v>
      </c>
      <c r="F23" s="4">
        <v>0</v>
      </c>
    </row>
    <row r="24" spans="1:6" ht="57.75" customHeight="1">
      <c r="A24" s="151"/>
      <c r="B24" s="25">
        <v>1</v>
      </c>
      <c r="C24" s="17" t="s">
        <v>44</v>
      </c>
      <c r="D24" s="18" t="s">
        <v>165</v>
      </c>
      <c r="E24" s="30" t="s">
        <v>166</v>
      </c>
      <c r="F24" s="4">
        <v>0</v>
      </c>
    </row>
    <row r="25" spans="1:6" ht="72.75" customHeight="1">
      <c r="A25" s="95" t="s">
        <v>106</v>
      </c>
      <c r="B25" s="26">
        <v>11</v>
      </c>
      <c r="C25" s="19" t="s">
        <v>8</v>
      </c>
      <c r="D25" s="20" t="s">
        <v>167</v>
      </c>
      <c r="E25" s="31" t="s">
        <v>168</v>
      </c>
      <c r="F25" s="6">
        <v>4</v>
      </c>
    </row>
    <row r="26" spans="1:6" ht="72.75" customHeight="1">
      <c r="A26" s="150"/>
      <c r="B26" s="27">
        <v>10</v>
      </c>
      <c r="C26" s="21" t="s">
        <v>30</v>
      </c>
      <c r="D26" s="22" t="s">
        <v>169</v>
      </c>
      <c r="E26" s="32" t="s">
        <v>170</v>
      </c>
      <c r="F26" s="6">
        <v>3</v>
      </c>
    </row>
    <row r="27" spans="1:6" ht="57.75" customHeight="1">
      <c r="A27" s="150"/>
      <c r="B27" s="27">
        <v>9</v>
      </c>
      <c r="C27" s="21" t="s">
        <v>16</v>
      </c>
      <c r="D27" s="22" t="s">
        <v>171</v>
      </c>
      <c r="E27" s="32" t="s">
        <v>172</v>
      </c>
      <c r="F27" s="4">
        <v>0</v>
      </c>
    </row>
    <row r="28" spans="1:6" ht="57.75" customHeight="1">
      <c r="A28" s="150"/>
      <c r="B28" s="28">
        <v>8</v>
      </c>
      <c r="C28" s="21" t="s">
        <v>65</v>
      </c>
      <c r="D28" s="22" t="s">
        <v>173</v>
      </c>
      <c r="E28" s="32" t="s">
        <v>174</v>
      </c>
      <c r="F28" s="6">
        <v>3</v>
      </c>
    </row>
    <row r="29" spans="1:6" ht="72.75" customHeight="1">
      <c r="A29" s="150"/>
      <c r="B29" s="28">
        <v>7</v>
      </c>
      <c r="C29" s="21" t="s">
        <v>23</v>
      </c>
      <c r="D29" s="22" t="s">
        <v>175</v>
      </c>
      <c r="E29" s="32" t="s">
        <v>176</v>
      </c>
      <c r="F29" s="4">
        <v>0</v>
      </c>
    </row>
    <row r="30" spans="1:6" ht="57.75" customHeight="1">
      <c r="A30" s="150"/>
      <c r="B30" s="28">
        <v>6</v>
      </c>
      <c r="C30" s="21" t="s">
        <v>134</v>
      </c>
      <c r="D30" s="22" t="s">
        <v>177</v>
      </c>
      <c r="E30" s="32" t="s">
        <v>178</v>
      </c>
      <c r="F30" s="4">
        <v>0</v>
      </c>
    </row>
    <row r="31" spans="1:6" ht="57.75" customHeight="1">
      <c r="A31" s="150"/>
      <c r="B31" s="28">
        <v>5</v>
      </c>
      <c r="C31" s="21" t="s">
        <v>58</v>
      </c>
      <c r="D31" s="22" t="s">
        <v>179</v>
      </c>
      <c r="E31" s="32" t="s">
        <v>180</v>
      </c>
      <c r="F31" s="4">
        <v>0</v>
      </c>
    </row>
    <row r="32" spans="1:6" ht="43.5" customHeight="1">
      <c r="A32" s="150"/>
      <c r="B32" s="28">
        <v>4</v>
      </c>
      <c r="C32" s="21" t="s">
        <v>131</v>
      </c>
      <c r="D32" s="22" t="s">
        <v>181</v>
      </c>
      <c r="E32" s="32" t="s">
        <v>182</v>
      </c>
      <c r="F32" s="4">
        <v>0</v>
      </c>
    </row>
    <row r="33" spans="1:6" ht="57.75" customHeight="1">
      <c r="A33" s="150"/>
      <c r="B33" s="29">
        <v>3</v>
      </c>
      <c r="C33" s="21" t="s">
        <v>51</v>
      </c>
      <c r="D33" s="22" t="s">
        <v>183</v>
      </c>
      <c r="E33" s="32" t="s">
        <v>184</v>
      </c>
      <c r="F33" s="4">
        <v>0</v>
      </c>
    </row>
    <row r="34" spans="1:6" ht="57.75" customHeight="1">
      <c r="A34" s="150"/>
      <c r="B34" s="29">
        <v>2</v>
      </c>
      <c r="C34" s="21" t="s">
        <v>44</v>
      </c>
      <c r="D34" s="22" t="s">
        <v>185</v>
      </c>
      <c r="E34" s="32" t="s">
        <v>186</v>
      </c>
      <c r="F34" s="4">
        <v>0</v>
      </c>
    </row>
    <row r="35" spans="1:6" ht="57.75" customHeight="1">
      <c r="A35" s="151"/>
      <c r="B35" s="29">
        <v>1</v>
      </c>
      <c r="C35" s="21" t="s">
        <v>72</v>
      </c>
      <c r="D35" s="22" t="s">
        <v>187</v>
      </c>
      <c r="E35" s="32" t="s">
        <v>188</v>
      </c>
      <c r="F35" s="4">
        <v>0</v>
      </c>
    </row>
    <row r="36" spans="1:6" ht="72.75" customHeight="1">
      <c r="A36" s="93" t="s">
        <v>88</v>
      </c>
      <c r="B36" s="43">
        <v>11</v>
      </c>
      <c r="C36" s="44" t="s">
        <v>134</v>
      </c>
      <c r="D36" s="45" t="s">
        <v>189</v>
      </c>
      <c r="E36" s="46" t="s">
        <v>190</v>
      </c>
      <c r="F36" s="7">
        <v>3</v>
      </c>
    </row>
    <row r="37" spans="1:6" ht="72.75" customHeight="1">
      <c r="A37" s="150"/>
      <c r="B37" s="47">
        <v>10</v>
      </c>
      <c r="C37" s="48" t="s">
        <v>58</v>
      </c>
      <c r="D37" s="49" t="s">
        <v>191</v>
      </c>
      <c r="E37" s="50" t="s">
        <v>192</v>
      </c>
      <c r="F37" s="7">
        <v>3</v>
      </c>
    </row>
    <row r="38" spans="1:6" ht="101.25" customHeight="1">
      <c r="A38" s="150"/>
      <c r="B38" s="47">
        <v>9</v>
      </c>
      <c r="C38" s="48" t="s">
        <v>23</v>
      </c>
      <c r="D38" s="49" t="s">
        <v>193</v>
      </c>
      <c r="E38" s="50" t="s">
        <v>194</v>
      </c>
      <c r="F38" s="7">
        <v>3</v>
      </c>
    </row>
    <row r="39" spans="1:6" ht="72.75" customHeight="1">
      <c r="A39" s="150"/>
      <c r="B39" s="51">
        <v>8</v>
      </c>
      <c r="C39" s="48" t="s">
        <v>16</v>
      </c>
      <c r="D39" s="49" t="s">
        <v>195</v>
      </c>
      <c r="E39" s="50" t="s">
        <v>196</v>
      </c>
      <c r="F39" s="4">
        <v>0</v>
      </c>
    </row>
    <row r="40" spans="1:6" ht="57.75" customHeight="1">
      <c r="A40" s="150"/>
      <c r="B40" s="51">
        <v>7</v>
      </c>
      <c r="C40" s="48" t="s">
        <v>51</v>
      </c>
      <c r="D40" s="49" t="s">
        <v>197</v>
      </c>
      <c r="E40" s="50" t="s">
        <v>198</v>
      </c>
      <c r="F40" s="4">
        <v>0</v>
      </c>
    </row>
    <row r="41" spans="1:6" ht="57.75" customHeight="1">
      <c r="A41" s="150"/>
      <c r="B41" s="51">
        <v>6</v>
      </c>
      <c r="C41" s="48" t="s">
        <v>72</v>
      </c>
      <c r="D41" s="49" t="s">
        <v>199</v>
      </c>
      <c r="E41" s="50" t="s">
        <v>200</v>
      </c>
      <c r="F41" s="4">
        <v>0</v>
      </c>
    </row>
    <row r="42" spans="1:6" ht="72.75" customHeight="1">
      <c r="A42" s="150"/>
      <c r="B42" s="51">
        <v>5</v>
      </c>
      <c r="C42" s="48" t="s">
        <v>44</v>
      </c>
      <c r="D42" s="49" t="s">
        <v>201</v>
      </c>
      <c r="E42" s="50" t="s">
        <v>202</v>
      </c>
      <c r="F42" s="4">
        <v>0</v>
      </c>
    </row>
    <row r="43" spans="1:6" ht="57.75" customHeight="1">
      <c r="A43" s="150"/>
      <c r="B43" s="51">
        <v>4</v>
      </c>
      <c r="C43" s="48" t="s">
        <v>131</v>
      </c>
      <c r="D43" s="49" t="s">
        <v>203</v>
      </c>
      <c r="E43" s="50" t="s">
        <v>204</v>
      </c>
      <c r="F43" s="4">
        <v>0</v>
      </c>
    </row>
    <row r="44" spans="1:6" ht="72.75" customHeight="1">
      <c r="A44" s="150"/>
      <c r="B44" s="52">
        <v>3</v>
      </c>
      <c r="C44" s="48" t="s">
        <v>65</v>
      </c>
      <c r="D44" s="49" t="s">
        <v>205</v>
      </c>
      <c r="E44" s="50" t="s">
        <v>206</v>
      </c>
      <c r="F44" s="4">
        <v>0</v>
      </c>
    </row>
    <row r="45" spans="1:6" ht="72.75" customHeight="1">
      <c r="A45" s="150"/>
      <c r="B45" s="52">
        <v>2</v>
      </c>
      <c r="C45" s="48" t="s">
        <v>8</v>
      </c>
      <c r="D45" s="49" t="s">
        <v>207</v>
      </c>
      <c r="E45" s="50" t="s">
        <v>208</v>
      </c>
      <c r="F45" s="4">
        <v>0</v>
      </c>
    </row>
    <row r="46" spans="1:6" ht="72.75" customHeight="1">
      <c r="A46" s="151"/>
      <c r="B46" s="52">
        <v>1</v>
      </c>
      <c r="C46" s="48" t="s">
        <v>30</v>
      </c>
      <c r="D46" s="49" t="s">
        <v>209</v>
      </c>
      <c r="E46" s="50" t="s">
        <v>210</v>
      </c>
      <c r="F46" s="4">
        <v>0</v>
      </c>
    </row>
    <row r="47" spans="1:6">
      <c r="B47" s="1"/>
    </row>
  </sheetData>
  <mergeCells count="5">
    <mergeCell ref="A36:A46"/>
    <mergeCell ref="A3:A13"/>
    <mergeCell ref="A25:A35"/>
    <mergeCell ref="A1:E1"/>
    <mergeCell ref="A14:A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B5C1-654E-4B40-BA6F-704D8F9CF232}">
  <dimension ref="A1:V52"/>
  <sheetViews>
    <sheetView workbookViewId="0">
      <selection activeCell="E49" sqref="E49"/>
    </sheetView>
  </sheetViews>
  <sheetFormatPr defaultRowHeight="15"/>
  <cols>
    <col min="1" max="1" width="26" bestFit="1" customWidth="1"/>
    <col min="3" max="3" width="26.5703125" bestFit="1" customWidth="1"/>
    <col min="4" max="4" width="180.28515625" bestFit="1" customWidth="1"/>
    <col min="5" max="5" width="156.7109375" bestFit="1" customWidth="1"/>
    <col min="6" max="6" width="17.5703125" bestFit="1" customWidth="1"/>
  </cols>
  <sheetData>
    <row r="1" spans="1:22" ht="21">
      <c r="A1" s="152" t="s">
        <v>115</v>
      </c>
      <c r="B1" s="153"/>
      <c r="C1" s="153"/>
      <c r="D1" s="153"/>
      <c r="E1" s="154"/>
    </row>
    <row r="2" spans="1:22">
      <c r="A2" s="129" t="s">
        <v>92</v>
      </c>
      <c r="B2" s="129" t="s">
        <v>116</v>
      </c>
      <c r="C2" s="129" t="s">
        <v>117</v>
      </c>
      <c r="D2" s="129" t="s">
        <v>118</v>
      </c>
      <c r="E2" s="129" t="s">
        <v>119</v>
      </c>
      <c r="F2" s="127" t="s">
        <v>120</v>
      </c>
      <c r="G2" s="128"/>
      <c r="H2" s="127"/>
      <c r="I2" s="127"/>
      <c r="J2" s="127"/>
      <c r="K2" s="127"/>
      <c r="L2" s="127"/>
      <c r="M2" s="127"/>
      <c r="N2" s="127"/>
      <c r="O2" s="127"/>
      <c r="P2" s="127"/>
      <c r="Q2" s="127"/>
      <c r="R2" s="127"/>
      <c r="S2" s="127"/>
      <c r="T2" s="127"/>
      <c r="U2" s="127"/>
      <c r="V2" s="127"/>
    </row>
    <row r="3" spans="1:22">
      <c r="A3" s="130" t="s">
        <v>85</v>
      </c>
      <c r="B3" s="129">
        <v>11</v>
      </c>
      <c r="C3" s="129" t="s">
        <v>16</v>
      </c>
      <c r="D3" s="129" t="s">
        <v>211</v>
      </c>
      <c r="E3" s="129" t="s">
        <v>212</v>
      </c>
      <c r="F3" s="127"/>
      <c r="G3" s="128"/>
      <c r="H3" s="128"/>
      <c r="I3" s="128"/>
      <c r="J3" s="128"/>
      <c r="K3" s="128"/>
      <c r="L3" s="128"/>
      <c r="M3" s="128"/>
      <c r="N3" s="128"/>
      <c r="O3" s="128"/>
      <c r="P3" s="128"/>
      <c r="Q3" s="128"/>
      <c r="R3" s="128"/>
      <c r="S3" s="128"/>
      <c r="T3" s="128"/>
      <c r="U3" s="127"/>
      <c r="V3" s="127"/>
    </row>
    <row r="4" spans="1:22">
      <c r="A4" s="130"/>
      <c r="B4" s="129">
        <v>10</v>
      </c>
      <c r="C4" s="129" t="s">
        <v>30</v>
      </c>
      <c r="D4" s="129" t="s">
        <v>213</v>
      </c>
      <c r="E4" s="129" t="s">
        <v>214</v>
      </c>
      <c r="F4" s="127"/>
      <c r="G4" s="128"/>
      <c r="H4" s="128"/>
      <c r="I4" s="128"/>
      <c r="J4" s="128"/>
      <c r="K4" s="128"/>
      <c r="L4" s="128"/>
      <c r="M4" s="128"/>
      <c r="N4" s="128"/>
      <c r="O4" s="128"/>
      <c r="P4" s="128"/>
      <c r="Q4" s="128"/>
      <c r="R4" s="128"/>
      <c r="S4" s="128"/>
      <c r="T4" s="128"/>
      <c r="U4" s="127"/>
      <c r="V4" s="127"/>
    </row>
    <row r="5" spans="1:22">
      <c r="A5" s="130"/>
      <c r="B5" s="129">
        <v>9</v>
      </c>
      <c r="C5" s="129" t="s">
        <v>8</v>
      </c>
      <c r="D5" s="129" t="s">
        <v>215</v>
      </c>
      <c r="E5" s="129" t="s">
        <v>216</v>
      </c>
      <c r="F5" s="127"/>
      <c r="G5" s="128"/>
      <c r="H5" s="128"/>
      <c r="I5" s="128"/>
      <c r="J5" s="128"/>
      <c r="K5" s="128"/>
      <c r="L5" s="128"/>
      <c r="M5" s="128"/>
      <c r="N5" s="128"/>
      <c r="O5" s="128"/>
      <c r="P5" s="128"/>
      <c r="Q5" s="128"/>
      <c r="R5" s="128"/>
      <c r="S5" s="128"/>
      <c r="T5" s="128"/>
      <c r="U5" s="127"/>
      <c r="V5" s="127"/>
    </row>
    <row r="6" spans="1:22">
      <c r="A6" s="130"/>
      <c r="B6" s="129">
        <v>8</v>
      </c>
      <c r="C6" s="129" t="s">
        <v>23</v>
      </c>
      <c r="D6" s="129" t="s">
        <v>217</v>
      </c>
      <c r="E6" s="129" t="s">
        <v>218</v>
      </c>
      <c r="F6" s="127"/>
      <c r="G6" s="128"/>
      <c r="H6" s="128"/>
      <c r="I6" s="128"/>
      <c r="J6" s="128"/>
      <c r="K6" s="128"/>
      <c r="L6" s="128"/>
      <c r="M6" s="128"/>
      <c r="N6" s="128"/>
      <c r="O6" s="128"/>
      <c r="P6" s="128"/>
      <c r="Q6" s="128"/>
      <c r="R6" s="127"/>
      <c r="S6" s="127"/>
      <c r="T6" s="127"/>
      <c r="U6" s="127"/>
      <c r="V6" s="127"/>
    </row>
    <row r="7" spans="1:22">
      <c r="A7" s="130"/>
      <c r="B7" s="129">
        <v>7</v>
      </c>
      <c r="C7" s="129" t="s">
        <v>37</v>
      </c>
      <c r="D7" s="129" t="s">
        <v>219</v>
      </c>
      <c r="E7" s="129" t="s">
        <v>220</v>
      </c>
      <c r="F7" s="127"/>
      <c r="G7" s="128"/>
      <c r="H7" s="128"/>
      <c r="I7" s="128"/>
      <c r="J7" s="128"/>
      <c r="K7" s="128"/>
      <c r="L7" s="128"/>
      <c r="M7" s="128"/>
      <c r="N7" s="128"/>
      <c r="O7" s="128"/>
      <c r="P7" s="128"/>
      <c r="Q7" s="128"/>
      <c r="R7" s="128"/>
      <c r="S7" s="128"/>
      <c r="T7" s="127"/>
      <c r="U7" s="127"/>
      <c r="V7" s="127"/>
    </row>
    <row r="8" spans="1:22">
      <c r="A8" s="130"/>
      <c r="B8" s="129">
        <v>6</v>
      </c>
      <c r="C8" s="129" t="s">
        <v>58</v>
      </c>
      <c r="D8" s="129" t="s">
        <v>221</v>
      </c>
      <c r="E8" s="129" t="s">
        <v>222</v>
      </c>
      <c r="F8" s="127"/>
      <c r="G8" s="128"/>
      <c r="H8" s="128"/>
      <c r="I8" s="128"/>
      <c r="J8" s="128"/>
      <c r="K8" s="128"/>
      <c r="L8" s="128"/>
      <c r="M8" s="128"/>
      <c r="N8" s="128"/>
      <c r="O8" s="128"/>
      <c r="P8" s="128"/>
      <c r="Q8" s="128"/>
      <c r="R8" s="128"/>
      <c r="S8" s="128"/>
      <c r="T8" s="127"/>
      <c r="U8" s="127"/>
      <c r="V8" s="127"/>
    </row>
    <row r="9" spans="1:22">
      <c r="A9" s="130"/>
      <c r="B9" s="129">
        <v>5</v>
      </c>
      <c r="C9" s="129" t="s">
        <v>65</v>
      </c>
      <c r="D9" s="129" t="s">
        <v>223</v>
      </c>
      <c r="E9" s="129" t="s">
        <v>224</v>
      </c>
      <c r="F9" s="127"/>
      <c r="G9" s="128"/>
      <c r="H9" s="128"/>
      <c r="I9" s="128"/>
      <c r="J9" s="128"/>
      <c r="K9" s="128"/>
      <c r="L9" s="128"/>
      <c r="M9" s="128"/>
      <c r="N9" s="128"/>
      <c r="O9" s="128"/>
      <c r="P9" s="128"/>
      <c r="Q9" s="127"/>
      <c r="R9" s="127"/>
      <c r="S9" s="127"/>
      <c r="T9" s="127"/>
      <c r="U9" s="127"/>
      <c r="V9" s="127"/>
    </row>
    <row r="10" spans="1:22">
      <c r="A10" s="130"/>
      <c r="B10" s="129">
        <v>4</v>
      </c>
      <c r="C10" s="129" t="s">
        <v>51</v>
      </c>
      <c r="D10" s="129" t="s">
        <v>225</v>
      </c>
      <c r="E10" s="129" t="s">
        <v>226</v>
      </c>
      <c r="F10" s="127"/>
      <c r="G10" s="128"/>
      <c r="H10" s="128"/>
      <c r="I10" s="128"/>
      <c r="J10" s="128"/>
      <c r="K10" s="128"/>
      <c r="L10" s="128"/>
      <c r="M10" s="128"/>
      <c r="N10" s="128"/>
      <c r="O10" s="128"/>
      <c r="P10" s="128"/>
      <c r="Q10" s="128"/>
      <c r="R10" s="127"/>
      <c r="S10" s="127"/>
      <c r="T10" s="127"/>
      <c r="U10" s="127"/>
      <c r="V10" s="127"/>
    </row>
    <row r="11" spans="1:22">
      <c r="A11" s="130"/>
      <c r="B11" s="129">
        <v>3</v>
      </c>
      <c r="C11" s="129" t="s">
        <v>44</v>
      </c>
      <c r="D11" s="129" t="s">
        <v>227</v>
      </c>
      <c r="E11" s="129" t="s">
        <v>228</v>
      </c>
      <c r="F11" s="127"/>
      <c r="G11" s="128"/>
      <c r="H11" s="128"/>
      <c r="I11" s="128"/>
      <c r="J11" s="128"/>
      <c r="K11" s="128"/>
      <c r="L11" s="128"/>
      <c r="M11" s="128"/>
      <c r="N11" s="128"/>
      <c r="O11" s="128"/>
      <c r="P11" s="128"/>
      <c r="Q11" s="128"/>
      <c r="R11" s="128"/>
      <c r="S11" s="128"/>
      <c r="T11" s="127"/>
      <c r="U11" s="127"/>
      <c r="V11" s="127"/>
    </row>
    <row r="12" spans="1:22">
      <c r="A12" s="130"/>
      <c r="B12" s="129">
        <v>2</v>
      </c>
      <c r="C12" s="129" t="s">
        <v>72</v>
      </c>
      <c r="D12" s="129" t="s">
        <v>229</v>
      </c>
      <c r="E12" s="129" t="s">
        <v>230</v>
      </c>
      <c r="F12" s="127"/>
      <c r="G12" s="128"/>
      <c r="H12" s="128"/>
      <c r="I12" s="128"/>
      <c r="J12" s="128"/>
      <c r="K12" s="128"/>
      <c r="L12" s="128"/>
      <c r="M12" s="128"/>
      <c r="N12" s="128"/>
      <c r="O12" s="128"/>
      <c r="P12" s="128"/>
      <c r="Q12" s="128"/>
      <c r="R12" s="128"/>
      <c r="S12" s="128"/>
      <c r="T12" s="127"/>
      <c r="U12" s="127"/>
      <c r="V12" s="127"/>
    </row>
    <row r="13" spans="1:22">
      <c r="A13" s="130"/>
      <c r="B13" s="129">
        <v>1</v>
      </c>
      <c r="C13" s="129" t="s">
        <v>79</v>
      </c>
      <c r="D13" s="129" t="s">
        <v>231</v>
      </c>
      <c r="E13" s="129" t="s">
        <v>232</v>
      </c>
      <c r="F13" s="127"/>
      <c r="G13" s="128"/>
      <c r="H13" s="128"/>
      <c r="I13" s="128"/>
      <c r="J13" s="128"/>
      <c r="K13" s="128"/>
      <c r="L13" s="128"/>
      <c r="M13" s="128"/>
      <c r="N13" s="128"/>
      <c r="O13" s="128"/>
      <c r="P13" s="128"/>
      <c r="Q13" s="128"/>
      <c r="R13" s="128"/>
      <c r="S13" s="128"/>
      <c r="T13" s="127"/>
      <c r="U13" s="127"/>
      <c r="V13" s="127"/>
    </row>
    <row r="14" spans="1:22">
      <c r="A14" s="130" t="s">
        <v>101</v>
      </c>
      <c r="B14" s="129">
        <v>11</v>
      </c>
      <c r="C14" s="129" t="s">
        <v>8</v>
      </c>
      <c r="D14" s="129" t="s">
        <v>233</v>
      </c>
      <c r="E14" s="129" t="s">
        <v>234</v>
      </c>
      <c r="F14" s="127"/>
      <c r="G14" s="128"/>
      <c r="H14" s="128"/>
      <c r="I14" s="128"/>
      <c r="J14" s="128"/>
      <c r="K14" s="128"/>
      <c r="L14" s="128"/>
      <c r="M14" s="128"/>
      <c r="N14" s="128"/>
      <c r="O14" s="128"/>
      <c r="P14" s="128"/>
      <c r="Q14" s="128"/>
      <c r="R14" s="127"/>
      <c r="S14" s="127"/>
      <c r="T14" s="127"/>
      <c r="U14" s="127"/>
      <c r="V14" s="127"/>
    </row>
    <row r="15" spans="1:22">
      <c r="A15" s="130"/>
      <c r="B15" s="129">
        <v>10</v>
      </c>
      <c r="C15" s="129" t="s">
        <v>23</v>
      </c>
      <c r="D15" s="129" t="s">
        <v>235</v>
      </c>
      <c r="E15" s="129" t="s">
        <v>236</v>
      </c>
      <c r="F15" s="127"/>
      <c r="G15" s="128"/>
      <c r="H15" s="128"/>
      <c r="I15" s="128"/>
      <c r="J15" s="128"/>
      <c r="K15" s="128"/>
      <c r="L15" s="128"/>
      <c r="M15" s="128"/>
      <c r="N15" s="128"/>
      <c r="O15" s="128"/>
      <c r="P15" s="128"/>
      <c r="Q15" s="128"/>
      <c r="R15" s="127"/>
      <c r="S15" s="127"/>
      <c r="T15" s="127"/>
      <c r="U15" s="127"/>
      <c r="V15" s="127"/>
    </row>
    <row r="16" spans="1:22">
      <c r="A16" s="130"/>
      <c r="B16" s="129">
        <v>9</v>
      </c>
      <c r="C16" s="129" t="s">
        <v>30</v>
      </c>
      <c r="D16" s="129" t="s">
        <v>237</v>
      </c>
      <c r="E16" s="129" t="s">
        <v>238</v>
      </c>
      <c r="F16" s="127"/>
      <c r="G16" s="128"/>
      <c r="H16" s="128"/>
      <c r="I16" s="128"/>
      <c r="J16" s="128"/>
      <c r="K16" s="128"/>
      <c r="L16" s="128"/>
      <c r="M16" s="128"/>
      <c r="N16" s="128"/>
      <c r="O16" s="128"/>
      <c r="P16" s="128"/>
      <c r="Q16" s="128"/>
      <c r="R16" s="128"/>
      <c r="S16" s="127"/>
      <c r="T16" s="127"/>
      <c r="U16" s="127"/>
      <c r="V16" s="127"/>
    </row>
    <row r="17" spans="1:22">
      <c r="A17" s="130"/>
      <c r="B17" s="129">
        <v>8</v>
      </c>
      <c r="C17" s="129" t="s">
        <v>16</v>
      </c>
      <c r="D17" s="129" t="s">
        <v>239</v>
      </c>
      <c r="E17" s="129" t="s">
        <v>240</v>
      </c>
      <c r="F17" s="127"/>
      <c r="G17" s="128"/>
      <c r="H17" s="128"/>
      <c r="I17" s="128"/>
      <c r="J17" s="128"/>
      <c r="K17" s="128"/>
      <c r="L17" s="128"/>
      <c r="M17" s="128"/>
      <c r="N17" s="128"/>
      <c r="O17" s="128"/>
      <c r="P17" s="128"/>
      <c r="Q17" s="128"/>
      <c r="R17" s="128"/>
      <c r="S17" s="127"/>
      <c r="T17" s="127"/>
      <c r="U17" s="127"/>
      <c r="V17" s="127"/>
    </row>
    <row r="18" spans="1:22">
      <c r="A18" s="130"/>
      <c r="B18" s="129">
        <v>7</v>
      </c>
      <c r="C18" s="129" t="s">
        <v>65</v>
      </c>
      <c r="D18" s="129" t="s">
        <v>241</v>
      </c>
      <c r="E18" s="129" t="s">
        <v>242</v>
      </c>
      <c r="F18" s="127"/>
      <c r="G18" s="128"/>
      <c r="H18" s="128"/>
      <c r="I18" s="128"/>
      <c r="J18" s="128"/>
      <c r="K18" s="128"/>
      <c r="L18" s="128"/>
      <c r="M18" s="128"/>
      <c r="N18" s="128"/>
      <c r="O18" s="128"/>
      <c r="P18" s="128"/>
      <c r="Q18" s="128"/>
      <c r="R18" s="128"/>
      <c r="S18" s="127"/>
      <c r="T18" s="127"/>
      <c r="U18" s="127"/>
      <c r="V18" s="127"/>
    </row>
    <row r="19" spans="1:22">
      <c r="A19" s="130"/>
      <c r="B19" s="129">
        <v>6</v>
      </c>
      <c r="C19" s="129" t="s">
        <v>44</v>
      </c>
      <c r="D19" s="129" t="s">
        <v>243</v>
      </c>
      <c r="E19" s="129" t="s">
        <v>244</v>
      </c>
      <c r="F19" s="127"/>
      <c r="G19" s="128"/>
      <c r="H19" s="128"/>
      <c r="I19" s="128"/>
      <c r="J19" s="128"/>
      <c r="K19" s="128"/>
      <c r="L19" s="128"/>
      <c r="M19" s="128"/>
      <c r="N19" s="128"/>
      <c r="O19" s="128"/>
      <c r="P19" s="128"/>
      <c r="Q19" s="128"/>
      <c r="R19" s="128"/>
      <c r="S19" s="127"/>
      <c r="T19" s="127"/>
      <c r="U19" s="127"/>
      <c r="V19" s="127"/>
    </row>
    <row r="20" spans="1:22">
      <c r="A20" s="130"/>
      <c r="B20" s="129">
        <v>5</v>
      </c>
      <c r="C20" s="129" t="s">
        <v>51</v>
      </c>
      <c r="D20" s="129" t="s">
        <v>245</v>
      </c>
      <c r="E20" s="129" t="s">
        <v>246</v>
      </c>
      <c r="F20" s="127"/>
      <c r="G20" s="128"/>
      <c r="H20" s="128"/>
      <c r="I20" s="128"/>
      <c r="J20" s="128"/>
      <c r="K20" s="128"/>
      <c r="L20" s="128"/>
      <c r="M20" s="128"/>
      <c r="N20" s="128"/>
      <c r="O20" s="128"/>
      <c r="P20" s="128"/>
      <c r="Q20" s="128"/>
      <c r="R20" s="128"/>
      <c r="S20" s="127"/>
      <c r="T20" s="127"/>
      <c r="U20" s="127"/>
      <c r="V20" s="127"/>
    </row>
    <row r="21" spans="1:22">
      <c r="A21" s="130"/>
      <c r="B21" s="129">
        <v>4</v>
      </c>
      <c r="C21" s="129" t="s">
        <v>72</v>
      </c>
      <c r="D21" s="129" t="s">
        <v>247</v>
      </c>
      <c r="E21" s="129" t="s">
        <v>248</v>
      </c>
      <c r="F21" s="127"/>
      <c r="G21" s="128"/>
      <c r="H21" s="128"/>
      <c r="I21" s="128"/>
      <c r="J21" s="128"/>
      <c r="K21" s="128"/>
      <c r="L21" s="128"/>
      <c r="M21" s="128"/>
      <c r="N21" s="128"/>
      <c r="O21" s="128"/>
      <c r="P21" s="127"/>
      <c r="Q21" s="127"/>
      <c r="R21" s="127"/>
      <c r="S21" s="127"/>
      <c r="T21" s="127"/>
      <c r="U21" s="127"/>
      <c r="V21" s="127"/>
    </row>
    <row r="22" spans="1:22">
      <c r="A22" s="130"/>
      <c r="B22" s="129">
        <v>3</v>
      </c>
      <c r="C22" s="129" t="s">
        <v>37</v>
      </c>
      <c r="D22" s="129" t="s">
        <v>249</v>
      </c>
      <c r="E22" s="129" t="s">
        <v>250</v>
      </c>
      <c r="F22" s="127"/>
      <c r="G22" s="128"/>
      <c r="H22" s="128"/>
      <c r="I22" s="128"/>
      <c r="J22" s="128"/>
      <c r="K22" s="128"/>
      <c r="L22" s="128"/>
      <c r="M22" s="128"/>
      <c r="N22" s="128"/>
      <c r="O22" s="128"/>
      <c r="P22" s="128"/>
      <c r="Q22" s="128"/>
      <c r="R22" s="127"/>
      <c r="S22" s="127"/>
      <c r="T22" s="127"/>
      <c r="U22" s="127"/>
      <c r="V22" s="127"/>
    </row>
    <row r="23" spans="1:22">
      <c r="A23" s="130"/>
      <c r="B23" s="129">
        <v>2</v>
      </c>
      <c r="C23" s="129" t="s">
        <v>58</v>
      </c>
      <c r="D23" s="129" t="s">
        <v>251</v>
      </c>
      <c r="E23" s="129" t="s">
        <v>252</v>
      </c>
      <c r="F23" s="127"/>
      <c r="G23" s="128"/>
      <c r="H23" s="128"/>
      <c r="I23" s="128"/>
      <c r="J23" s="128"/>
      <c r="K23" s="128"/>
      <c r="L23" s="128"/>
      <c r="M23" s="128"/>
      <c r="N23" s="128"/>
      <c r="O23" s="128"/>
      <c r="P23" s="128"/>
      <c r="Q23" s="128"/>
      <c r="R23" s="127"/>
      <c r="S23" s="127"/>
      <c r="T23" s="127"/>
      <c r="U23" s="127"/>
      <c r="V23" s="127"/>
    </row>
    <row r="24" spans="1:22">
      <c r="A24" s="130"/>
      <c r="B24" s="129">
        <v>1</v>
      </c>
      <c r="C24" s="129" t="s">
        <v>79</v>
      </c>
      <c r="D24" s="129" t="s">
        <v>253</v>
      </c>
      <c r="E24" s="129" t="s">
        <v>254</v>
      </c>
      <c r="F24" s="127"/>
      <c r="G24" s="128"/>
      <c r="H24" s="128"/>
      <c r="I24" s="128"/>
      <c r="J24" s="128"/>
      <c r="K24" s="128"/>
      <c r="L24" s="128"/>
      <c r="M24" s="128"/>
      <c r="N24" s="128"/>
      <c r="O24" s="128"/>
      <c r="P24" s="128"/>
      <c r="Q24" s="128"/>
      <c r="R24" s="127"/>
      <c r="S24" s="127"/>
      <c r="T24" s="127"/>
      <c r="U24" s="127"/>
      <c r="V24" s="127"/>
    </row>
    <row r="25" spans="1:22">
      <c r="A25" s="130" t="s">
        <v>106</v>
      </c>
      <c r="B25" s="129">
        <v>11</v>
      </c>
      <c r="C25" s="129" t="s">
        <v>8</v>
      </c>
      <c r="D25" s="129" t="s">
        <v>255</v>
      </c>
      <c r="E25" s="129" t="s">
        <v>256</v>
      </c>
      <c r="F25" s="127"/>
      <c r="G25" s="128"/>
      <c r="H25" s="128"/>
      <c r="I25" s="128"/>
      <c r="J25" s="128"/>
      <c r="K25" s="128"/>
      <c r="L25" s="128"/>
      <c r="M25" s="128"/>
      <c r="N25" s="128"/>
      <c r="O25" s="128"/>
      <c r="P25" s="128"/>
      <c r="Q25" s="128"/>
      <c r="R25" s="127"/>
      <c r="S25" s="127"/>
      <c r="T25" s="127"/>
      <c r="U25" s="127"/>
      <c r="V25" s="127"/>
    </row>
    <row r="26" spans="1:22">
      <c r="A26" s="130"/>
      <c r="B26" s="129">
        <v>10</v>
      </c>
      <c r="C26" s="129" t="s">
        <v>23</v>
      </c>
      <c r="D26" s="129" t="s">
        <v>257</v>
      </c>
      <c r="E26" s="129" t="s">
        <v>258</v>
      </c>
      <c r="F26" s="127"/>
      <c r="G26" s="128"/>
      <c r="H26" s="128"/>
      <c r="I26" s="128"/>
      <c r="J26" s="128"/>
      <c r="K26" s="128"/>
      <c r="L26" s="128"/>
      <c r="M26" s="128"/>
      <c r="N26" s="128"/>
      <c r="O26" s="128"/>
      <c r="P26" s="128"/>
      <c r="Q26" s="127"/>
      <c r="R26" s="127"/>
      <c r="S26" s="127"/>
      <c r="T26" s="127"/>
      <c r="U26" s="127"/>
      <c r="V26" s="127"/>
    </row>
    <row r="27" spans="1:22">
      <c r="A27" s="130"/>
      <c r="B27" s="129">
        <v>9</v>
      </c>
      <c r="C27" s="129" t="s">
        <v>16</v>
      </c>
      <c r="D27" s="129" t="s">
        <v>259</v>
      </c>
      <c r="E27" s="129" t="s">
        <v>260</v>
      </c>
      <c r="F27" s="127"/>
      <c r="G27" s="128"/>
      <c r="H27" s="128"/>
      <c r="I27" s="128"/>
      <c r="J27" s="128"/>
      <c r="K27" s="128"/>
      <c r="L27" s="128"/>
      <c r="M27" s="128"/>
      <c r="N27" s="128"/>
      <c r="O27" s="128"/>
      <c r="P27" s="128"/>
      <c r="Q27" s="127"/>
      <c r="R27" s="127"/>
      <c r="S27" s="127"/>
      <c r="T27" s="127"/>
      <c r="U27" s="127"/>
      <c r="V27" s="127"/>
    </row>
    <row r="28" spans="1:22">
      <c r="A28" s="130"/>
      <c r="B28" s="129">
        <v>8</v>
      </c>
      <c r="C28" s="129" t="s">
        <v>30</v>
      </c>
      <c r="D28" s="129" t="s">
        <v>261</v>
      </c>
      <c r="E28" s="129" t="s">
        <v>262</v>
      </c>
      <c r="F28" s="127"/>
      <c r="G28" s="128"/>
      <c r="H28" s="128"/>
      <c r="I28" s="128"/>
      <c r="J28" s="128"/>
      <c r="K28" s="128"/>
      <c r="L28" s="128"/>
      <c r="M28" s="128"/>
      <c r="N28" s="128"/>
      <c r="O28" s="128"/>
      <c r="P28" s="128"/>
      <c r="Q28" s="128"/>
      <c r="R28" s="128"/>
      <c r="S28" s="127"/>
      <c r="T28" s="127"/>
      <c r="U28" s="127"/>
      <c r="V28" s="127"/>
    </row>
    <row r="29" spans="1:22">
      <c r="A29" s="130"/>
      <c r="B29" s="129">
        <v>7</v>
      </c>
      <c r="C29" s="129" t="s">
        <v>65</v>
      </c>
      <c r="D29" s="129" t="s">
        <v>263</v>
      </c>
      <c r="E29" s="129" t="s">
        <v>264</v>
      </c>
      <c r="F29" s="127"/>
      <c r="G29" s="128"/>
      <c r="H29" s="128"/>
      <c r="I29" s="128"/>
      <c r="J29" s="128"/>
      <c r="K29" s="128"/>
      <c r="L29" s="128"/>
      <c r="M29" s="128"/>
      <c r="N29" s="128"/>
      <c r="O29" s="128"/>
      <c r="P29" s="128"/>
      <c r="Q29" s="128"/>
      <c r="R29" s="128"/>
      <c r="S29" s="127"/>
      <c r="T29" s="127"/>
      <c r="U29" s="127"/>
      <c r="V29" s="127"/>
    </row>
    <row r="30" spans="1:22">
      <c r="A30" s="130"/>
      <c r="B30" s="129">
        <v>6</v>
      </c>
      <c r="C30" s="129" t="s">
        <v>72</v>
      </c>
      <c r="D30" s="129" t="s">
        <v>265</v>
      </c>
      <c r="E30" s="129" t="s">
        <v>266</v>
      </c>
      <c r="F30" s="127"/>
      <c r="G30" s="128"/>
      <c r="H30" s="128"/>
      <c r="I30" s="128"/>
      <c r="J30" s="128"/>
      <c r="K30" s="128"/>
      <c r="L30" s="128"/>
      <c r="M30" s="128"/>
      <c r="N30" s="128"/>
      <c r="O30" s="128"/>
      <c r="P30" s="128"/>
      <c r="Q30" s="128"/>
      <c r="R30" s="127"/>
      <c r="S30" s="127"/>
      <c r="T30" s="127"/>
      <c r="U30" s="127"/>
      <c r="V30" s="127"/>
    </row>
    <row r="31" spans="1:22">
      <c r="A31" s="130"/>
      <c r="B31" s="129">
        <v>5</v>
      </c>
      <c r="C31" s="129" t="s">
        <v>44</v>
      </c>
      <c r="D31" s="129" t="s">
        <v>267</v>
      </c>
      <c r="E31" s="129" t="s">
        <v>268</v>
      </c>
      <c r="F31" s="127"/>
      <c r="G31" s="128"/>
      <c r="H31" s="128"/>
      <c r="I31" s="128"/>
      <c r="J31" s="128"/>
      <c r="K31" s="128"/>
      <c r="L31" s="128"/>
      <c r="M31" s="128"/>
      <c r="N31" s="128"/>
      <c r="O31" s="128"/>
      <c r="P31" s="128"/>
      <c r="Q31" s="128"/>
      <c r="R31" s="127"/>
      <c r="S31" s="127"/>
      <c r="T31" s="127"/>
      <c r="U31" s="127"/>
      <c r="V31" s="127"/>
    </row>
    <row r="32" spans="1:22">
      <c r="A32" s="130"/>
      <c r="B32" s="129">
        <v>4</v>
      </c>
      <c r="C32" s="129" t="s">
        <v>37</v>
      </c>
      <c r="D32" s="129" t="s">
        <v>269</v>
      </c>
      <c r="E32" s="129" t="s">
        <v>270</v>
      </c>
      <c r="F32" s="127"/>
      <c r="G32" s="128"/>
      <c r="H32" s="128"/>
      <c r="I32" s="128"/>
      <c r="J32" s="128"/>
      <c r="K32" s="128"/>
      <c r="L32" s="128"/>
      <c r="M32" s="128"/>
      <c r="N32" s="128"/>
      <c r="O32" s="128"/>
      <c r="P32" s="128"/>
      <c r="Q32" s="128"/>
      <c r="R32" s="128"/>
      <c r="S32" s="127"/>
      <c r="T32" s="127"/>
      <c r="U32" s="127"/>
      <c r="V32" s="127"/>
    </row>
    <row r="33" spans="1:22">
      <c r="A33" s="130"/>
      <c r="B33" s="129">
        <v>3</v>
      </c>
      <c r="C33" s="129" t="s">
        <v>51</v>
      </c>
      <c r="D33" s="129" t="s">
        <v>271</v>
      </c>
      <c r="E33" s="129" t="s">
        <v>272</v>
      </c>
      <c r="F33" s="127"/>
      <c r="G33" s="128"/>
      <c r="H33" s="128"/>
      <c r="I33" s="128"/>
      <c r="J33" s="128"/>
      <c r="K33" s="128"/>
      <c r="L33" s="128"/>
      <c r="M33" s="128"/>
      <c r="N33" s="128"/>
      <c r="O33" s="128"/>
      <c r="P33" s="128"/>
      <c r="Q33" s="128"/>
      <c r="R33" s="127"/>
      <c r="S33" s="127"/>
      <c r="T33" s="127"/>
      <c r="U33" s="127"/>
      <c r="V33" s="127"/>
    </row>
    <row r="34" spans="1:22">
      <c r="A34" s="130"/>
      <c r="B34" s="129">
        <v>2</v>
      </c>
      <c r="C34" s="129" t="s">
        <v>58</v>
      </c>
      <c r="D34" s="129" t="s">
        <v>273</v>
      </c>
      <c r="E34" s="129" t="s">
        <v>274</v>
      </c>
      <c r="F34" s="127"/>
      <c r="G34" s="128"/>
      <c r="H34" s="128"/>
      <c r="I34" s="128"/>
      <c r="J34" s="128"/>
      <c r="K34" s="128"/>
      <c r="L34" s="128"/>
      <c r="M34" s="128"/>
      <c r="N34" s="128"/>
      <c r="O34" s="128"/>
      <c r="P34" s="128"/>
      <c r="Q34" s="127"/>
      <c r="R34" s="127"/>
      <c r="S34" s="127"/>
      <c r="T34" s="127"/>
      <c r="U34" s="127"/>
      <c r="V34" s="127"/>
    </row>
    <row r="35" spans="1:22">
      <c r="A35" s="130"/>
      <c r="B35" s="129">
        <v>1</v>
      </c>
      <c r="C35" s="129" t="s">
        <v>79</v>
      </c>
      <c r="D35" s="129" t="s">
        <v>275</v>
      </c>
      <c r="E35" s="129" t="s">
        <v>276</v>
      </c>
      <c r="F35" s="127"/>
      <c r="G35" s="128"/>
      <c r="H35" s="128"/>
      <c r="I35" s="128"/>
      <c r="J35" s="128"/>
      <c r="K35" s="128"/>
      <c r="L35" s="128"/>
      <c r="M35" s="128"/>
      <c r="N35" s="128"/>
      <c r="O35" s="128"/>
      <c r="P35" s="128"/>
      <c r="Q35" s="128"/>
      <c r="R35" s="128"/>
      <c r="S35" s="127"/>
      <c r="T35" s="127"/>
      <c r="U35" s="127"/>
      <c r="V35" s="127"/>
    </row>
    <row r="36" spans="1:22">
      <c r="A36" s="130" t="s">
        <v>88</v>
      </c>
      <c r="B36" s="129">
        <v>11</v>
      </c>
      <c r="C36" s="129" t="s">
        <v>8</v>
      </c>
      <c r="D36" s="129" t="s">
        <v>277</v>
      </c>
      <c r="E36" s="129" t="s">
        <v>278</v>
      </c>
      <c r="F36" s="127"/>
      <c r="G36" s="128"/>
      <c r="H36" s="128"/>
      <c r="I36" s="128"/>
      <c r="J36" s="128"/>
      <c r="K36" s="128"/>
      <c r="L36" s="128"/>
      <c r="M36" s="128"/>
      <c r="N36" s="128"/>
      <c r="O36" s="128"/>
      <c r="P36" s="128"/>
      <c r="Q36" s="128"/>
      <c r="R36" s="128"/>
      <c r="S36" s="127"/>
      <c r="T36" s="127"/>
      <c r="U36" s="127"/>
      <c r="V36" s="127"/>
    </row>
    <row r="37" spans="1:22">
      <c r="A37" s="130"/>
      <c r="B37" s="129">
        <v>10</v>
      </c>
      <c r="C37" s="129" t="s">
        <v>23</v>
      </c>
      <c r="D37" s="129" t="s">
        <v>279</v>
      </c>
      <c r="E37" s="129" t="s">
        <v>280</v>
      </c>
      <c r="F37" s="127"/>
      <c r="G37" s="128"/>
      <c r="H37" s="128"/>
      <c r="I37" s="128"/>
      <c r="J37" s="128"/>
      <c r="K37" s="128"/>
      <c r="L37" s="128"/>
      <c r="M37" s="128"/>
      <c r="N37" s="128"/>
      <c r="O37" s="128"/>
      <c r="P37" s="128"/>
      <c r="Q37" s="128"/>
      <c r="R37" s="128"/>
      <c r="S37" s="127"/>
      <c r="T37" s="127"/>
      <c r="U37" s="127"/>
      <c r="V37" s="127"/>
    </row>
    <row r="38" spans="1:22">
      <c r="A38" s="130"/>
      <c r="B38" s="129">
        <v>9</v>
      </c>
      <c r="C38" s="129" t="s">
        <v>30</v>
      </c>
      <c r="D38" s="129" t="s">
        <v>281</v>
      </c>
      <c r="E38" s="129" t="s">
        <v>282</v>
      </c>
      <c r="F38" s="127"/>
      <c r="G38" s="128"/>
      <c r="H38" s="128"/>
      <c r="I38" s="128"/>
      <c r="J38" s="128"/>
      <c r="K38" s="128"/>
      <c r="L38" s="128"/>
      <c r="M38" s="128"/>
      <c r="N38" s="128"/>
      <c r="O38" s="128"/>
      <c r="P38" s="128"/>
      <c r="Q38" s="128"/>
      <c r="R38" s="128"/>
      <c r="S38" s="128"/>
      <c r="T38" s="127"/>
      <c r="U38" s="127"/>
      <c r="V38" s="127"/>
    </row>
    <row r="39" spans="1:22">
      <c r="A39" s="130"/>
      <c r="B39" s="129">
        <v>8</v>
      </c>
      <c r="C39" s="129" t="s">
        <v>58</v>
      </c>
      <c r="D39" s="129" t="s">
        <v>283</v>
      </c>
      <c r="E39" s="129" t="s">
        <v>284</v>
      </c>
      <c r="F39" s="127"/>
      <c r="G39" s="128"/>
      <c r="H39" s="128"/>
      <c r="I39" s="128"/>
      <c r="J39" s="128"/>
      <c r="K39" s="128"/>
      <c r="L39" s="128"/>
      <c r="M39" s="128"/>
      <c r="N39" s="128"/>
      <c r="O39" s="128"/>
      <c r="P39" s="128"/>
      <c r="Q39" s="128"/>
      <c r="R39" s="128"/>
      <c r="S39" s="127"/>
      <c r="T39" s="127"/>
      <c r="U39" s="127"/>
      <c r="V39" s="127"/>
    </row>
    <row r="40" spans="1:22">
      <c r="A40" s="130"/>
      <c r="B40" s="129">
        <v>7</v>
      </c>
      <c r="C40" s="129" t="s">
        <v>16</v>
      </c>
      <c r="D40" s="129" t="s">
        <v>285</v>
      </c>
      <c r="E40" s="129" t="s">
        <v>286</v>
      </c>
      <c r="F40" s="127"/>
      <c r="G40" s="128"/>
      <c r="H40" s="128"/>
      <c r="I40" s="128"/>
      <c r="J40" s="128"/>
      <c r="K40" s="128"/>
      <c r="L40" s="128"/>
      <c r="M40" s="128"/>
      <c r="N40" s="128"/>
      <c r="O40" s="128"/>
      <c r="P40" s="128"/>
      <c r="Q40" s="128"/>
      <c r="R40" s="127"/>
      <c r="S40" s="127"/>
      <c r="T40" s="127"/>
      <c r="U40" s="127"/>
      <c r="V40" s="127"/>
    </row>
    <row r="41" spans="1:22">
      <c r="A41" s="130"/>
      <c r="B41" s="129">
        <v>6</v>
      </c>
      <c r="C41" s="129" t="s">
        <v>44</v>
      </c>
      <c r="D41" s="129" t="s">
        <v>287</v>
      </c>
      <c r="E41" s="129" t="s">
        <v>288</v>
      </c>
      <c r="F41" s="127"/>
      <c r="G41" s="128"/>
      <c r="H41" s="128"/>
      <c r="I41" s="128"/>
      <c r="J41" s="128"/>
      <c r="K41" s="128"/>
      <c r="L41" s="128"/>
      <c r="M41" s="128"/>
      <c r="N41" s="128"/>
      <c r="O41" s="128"/>
      <c r="P41" s="128"/>
      <c r="Q41" s="128"/>
      <c r="R41" s="127"/>
      <c r="S41" s="127"/>
      <c r="T41" s="127"/>
      <c r="U41" s="127"/>
      <c r="V41" s="127"/>
    </row>
    <row r="42" spans="1:22">
      <c r="A42" s="130"/>
      <c r="B42" s="129">
        <v>5</v>
      </c>
      <c r="C42" s="129" t="s">
        <v>51</v>
      </c>
      <c r="D42" s="129" t="s">
        <v>289</v>
      </c>
      <c r="E42" s="129" t="s">
        <v>290</v>
      </c>
      <c r="F42" s="127"/>
      <c r="G42" s="128"/>
      <c r="H42" s="128"/>
      <c r="I42" s="128"/>
      <c r="J42" s="128"/>
      <c r="K42" s="128"/>
      <c r="L42" s="128"/>
      <c r="M42" s="128"/>
      <c r="N42" s="128"/>
      <c r="O42" s="128"/>
      <c r="P42" s="128"/>
      <c r="Q42" s="128"/>
      <c r="R42" s="128"/>
      <c r="S42" s="127"/>
      <c r="T42" s="127"/>
      <c r="U42" s="127"/>
      <c r="V42" s="127"/>
    </row>
    <row r="43" spans="1:22">
      <c r="A43" s="130"/>
      <c r="B43" s="129">
        <v>4</v>
      </c>
      <c r="C43" s="129" t="s">
        <v>37</v>
      </c>
      <c r="D43" s="129" t="s">
        <v>291</v>
      </c>
      <c r="E43" s="129" t="s">
        <v>292</v>
      </c>
      <c r="F43" s="127"/>
      <c r="G43" s="128"/>
      <c r="H43" s="128"/>
      <c r="I43" s="128"/>
      <c r="J43" s="128"/>
      <c r="K43" s="128"/>
      <c r="L43" s="128"/>
      <c r="M43" s="128"/>
      <c r="N43" s="128"/>
      <c r="O43" s="128"/>
      <c r="P43" s="128"/>
      <c r="Q43" s="127"/>
      <c r="R43" s="127"/>
      <c r="S43" s="127"/>
      <c r="T43" s="127"/>
      <c r="U43" s="127"/>
      <c r="V43" s="127"/>
    </row>
    <row r="44" spans="1:22">
      <c r="A44" s="130"/>
      <c r="B44" s="129">
        <v>3</v>
      </c>
      <c r="C44" s="129" t="s">
        <v>65</v>
      </c>
      <c r="D44" s="129" t="s">
        <v>293</v>
      </c>
      <c r="E44" s="129" t="s">
        <v>294</v>
      </c>
      <c r="F44" s="127"/>
      <c r="G44" s="128"/>
      <c r="H44" s="128"/>
      <c r="I44" s="128"/>
      <c r="J44" s="128"/>
      <c r="K44" s="128"/>
      <c r="L44" s="128"/>
      <c r="M44" s="128"/>
      <c r="N44" s="128"/>
      <c r="O44" s="128"/>
      <c r="P44" s="128"/>
      <c r="Q44" s="128"/>
      <c r="R44" s="127"/>
      <c r="S44" s="127"/>
      <c r="T44" s="127"/>
      <c r="U44" s="127"/>
      <c r="V44" s="127"/>
    </row>
    <row r="45" spans="1:22">
      <c r="A45" s="130"/>
      <c r="B45" s="129">
        <v>2</v>
      </c>
      <c r="C45" s="129" t="s">
        <v>72</v>
      </c>
      <c r="D45" s="129" t="s">
        <v>295</v>
      </c>
      <c r="E45" s="129" t="s">
        <v>296</v>
      </c>
      <c r="F45" s="127"/>
      <c r="G45" s="128"/>
      <c r="H45" s="128"/>
      <c r="I45" s="128"/>
      <c r="J45" s="128"/>
      <c r="K45" s="128"/>
      <c r="L45" s="128"/>
      <c r="M45" s="128"/>
      <c r="N45" s="128"/>
      <c r="O45" s="128"/>
      <c r="P45" s="128"/>
      <c r="Q45" s="128"/>
      <c r="R45" s="128"/>
      <c r="S45" s="128"/>
      <c r="T45" s="127"/>
      <c r="U45" s="127"/>
      <c r="V45" s="127"/>
    </row>
    <row r="46" spans="1:22">
      <c r="A46" s="130"/>
      <c r="B46" s="129">
        <v>1</v>
      </c>
      <c r="C46" s="129" t="s">
        <v>79</v>
      </c>
      <c r="D46" s="129" t="s">
        <v>297</v>
      </c>
      <c r="E46" s="129" t="s">
        <v>298</v>
      </c>
      <c r="F46" s="127"/>
      <c r="G46" s="128"/>
      <c r="H46" s="128"/>
      <c r="I46" s="128"/>
      <c r="J46" s="128"/>
      <c r="K46" s="128"/>
      <c r="L46" s="128"/>
      <c r="M46" s="128"/>
      <c r="N46" s="128"/>
      <c r="O46" s="128"/>
      <c r="P46" s="128"/>
      <c r="Q46" s="127"/>
      <c r="R46" s="127"/>
      <c r="S46" s="127"/>
      <c r="T46" s="127"/>
      <c r="U46" s="127"/>
      <c r="V46" s="127"/>
    </row>
    <row r="47" spans="1:22">
      <c r="A47" s="127"/>
      <c r="B47" s="127"/>
      <c r="C47" s="127"/>
      <c r="D47" s="127"/>
      <c r="E47" s="127"/>
      <c r="F47" s="127"/>
      <c r="G47" s="127"/>
      <c r="H47" s="127"/>
      <c r="I47" s="127"/>
      <c r="J47" s="127"/>
      <c r="K47" s="127"/>
      <c r="L47" s="127"/>
      <c r="M47" s="127"/>
      <c r="N47" s="127"/>
      <c r="O47" s="127"/>
      <c r="P47" s="127"/>
      <c r="Q47" s="127"/>
      <c r="R47" s="127"/>
      <c r="S47" s="127"/>
      <c r="T47" s="127"/>
      <c r="U47" s="127"/>
      <c r="V47" s="127"/>
    </row>
    <row r="48" spans="1:22">
      <c r="A48" s="127"/>
      <c r="B48" s="127"/>
      <c r="C48" s="127"/>
      <c r="D48" s="127"/>
      <c r="E48" s="127"/>
      <c r="F48" s="127"/>
      <c r="G48" s="127"/>
      <c r="H48" s="127"/>
      <c r="I48" s="127"/>
      <c r="J48" s="127"/>
      <c r="K48" s="127"/>
      <c r="L48" s="127"/>
      <c r="M48" s="127"/>
      <c r="N48" s="127"/>
      <c r="O48" s="127"/>
      <c r="P48" s="127"/>
      <c r="Q48" s="127"/>
      <c r="R48" s="127"/>
      <c r="S48" s="127"/>
      <c r="T48" s="127"/>
      <c r="U48" s="127"/>
      <c r="V48" s="127"/>
    </row>
    <row r="49" spans="1:22">
      <c r="A49" s="127"/>
      <c r="B49" s="127"/>
      <c r="C49" s="127"/>
      <c r="D49" s="127"/>
      <c r="E49" s="127"/>
      <c r="F49" s="127"/>
      <c r="G49" s="127"/>
      <c r="H49" s="127"/>
      <c r="I49" s="127"/>
      <c r="J49" s="127"/>
      <c r="K49" s="127"/>
      <c r="L49" s="127"/>
      <c r="M49" s="127"/>
      <c r="N49" s="127"/>
      <c r="O49" s="127"/>
      <c r="P49" s="127"/>
      <c r="Q49" s="127"/>
      <c r="R49" s="127"/>
      <c r="S49" s="127"/>
      <c r="T49" s="127"/>
      <c r="U49" s="127"/>
      <c r="V49" s="127"/>
    </row>
    <row r="50" spans="1:22">
      <c r="A50" s="127"/>
      <c r="B50" s="127"/>
      <c r="C50" s="127"/>
      <c r="D50" s="127"/>
      <c r="E50" s="127"/>
      <c r="F50" s="127"/>
      <c r="G50" s="127"/>
      <c r="H50" s="127"/>
      <c r="I50" s="127"/>
      <c r="J50" s="127"/>
      <c r="K50" s="127"/>
      <c r="L50" s="127"/>
      <c r="M50" s="127"/>
      <c r="N50" s="127"/>
      <c r="O50" s="127"/>
      <c r="P50" s="127"/>
      <c r="Q50" s="127"/>
      <c r="R50" s="127"/>
      <c r="S50" s="127"/>
      <c r="T50" s="127"/>
      <c r="U50" s="127"/>
      <c r="V50" s="127"/>
    </row>
    <row r="51" spans="1:22">
      <c r="A51" s="127"/>
      <c r="B51" s="127"/>
      <c r="C51" s="127"/>
      <c r="D51" s="127"/>
      <c r="E51" s="127"/>
      <c r="F51" s="127"/>
      <c r="G51" s="127"/>
      <c r="H51" s="127"/>
      <c r="I51" s="127"/>
      <c r="J51" s="127"/>
      <c r="K51" s="127"/>
      <c r="L51" s="127"/>
      <c r="M51" s="127"/>
      <c r="N51" s="127"/>
      <c r="O51" s="127"/>
      <c r="P51" s="127"/>
      <c r="Q51" s="127"/>
      <c r="R51" s="127"/>
      <c r="S51" s="127"/>
      <c r="T51" s="127"/>
      <c r="U51" s="127"/>
      <c r="V51" s="127"/>
    </row>
    <row r="52" spans="1:22">
      <c r="A52" s="127"/>
      <c r="B52" s="127"/>
      <c r="C52" s="127"/>
      <c r="D52" s="127"/>
      <c r="E52" s="127"/>
      <c r="F52" s="127"/>
      <c r="G52" s="127"/>
      <c r="H52" s="127"/>
      <c r="I52" s="127"/>
      <c r="J52" s="127"/>
      <c r="K52" s="127"/>
      <c r="L52" s="127"/>
      <c r="M52" s="127"/>
      <c r="N52" s="127"/>
      <c r="O52" s="127"/>
      <c r="P52" s="127"/>
      <c r="Q52" s="127"/>
      <c r="R52" s="127"/>
      <c r="S52" s="127"/>
      <c r="T52" s="127"/>
      <c r="U52" s="127"/>
      <c r="V52" s="127"/>
    </row>
  </sheetData>
  <mergeCells count="5">
    <mergeCell ref="A1:E1"/>
    <mergeCell ref="A3:A13"/>
    <mergeCell ref="A14:A24"/>
    <mergeCell ref="A25:A35"/>
    <mergeCell ref="A36:A4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zoomScaleNormal="100" zoomScaleSheetLayoutView="100" workbookViewId="0">
      <selection activeCell="C4" sqref="C4"/>
    </sheetView>
  </sheetViews>
  <sheetFormatPr defaultColWidth="8.85546875" defaultRowHeight="14.45"/>
  <cols>
    <col min="1" max="1" width="33.42578125" customWidth="1"/>
    <col min="2" max="2" width="64" customWidth="1"/>
  </cols>
  <sheetData>
    <row r="1" spans="1:2" ht="18.75" customHeight="1">
      <c r="A1" s="97" t="s">
        <v>299</v>
      </c>
      <c r="B1" s="147"/>
    </row>
    <row r="2" spans="1:2" ht="43.5" customHeight="1">
      <c r="A2" s="41" t="s">
        <v>300</v>
      </c>
      <c r="B2" s="42" t="s">
        <v>301</v>
      </c>
    </row>
    <row r="3" spans="1:2">
      <c r="A3" s="41" t="s">
        <v>302</v>
      </c>
      <c r="B3" s="42" t="s">
        <v>303</v>
      </c>
    </row>
    <row r="4" spans="1:2" ht="43.5" customHeight="1">
      <c r="A4" s="41" t="s">
        <v>304</v>
      </c>
      <c r="B4" s="42" t="s">
        <v>305</v>
      </c>
    </row>
    <row r="5" spans="1:2" ht="29.25" customHeight="1">
      <c r="A5" s="41" t="s">
        <v>306</v>
      </c>
      <c r="B5" s="42" t="s">
        <v>307</v>
      </c>
    </row>
    <row r="6" spans="1:2" ht="43.5" customHeight="1">
      <c r="A6" s="41" t="s">
        <v>308</v>
      </c>
      <c r="B6" s="42" t="s">
        <v>309</v>
      </c>
    </row>
    <row r="7" spans="1:2">
      <c r="A7" s="41" t="s">
        <v>310</v>
      </c>
      <c r="B7" s="42" t="s">
        <v>311</v>
      </c>
    </row>
    <row r="8" spans="1:2" ht="57.75" customHeight="1">
      <c r="A8" s="41" t="s">
        <v>312</v>
      </c>
      <c r="B8" s="42" t="s">
        <v>313</v>
      </c>
    </row>
    <row r="9" spans="1:2" ht="29.25" customHeight="1">
      <c r="A9" s="41" t="s">
        <v>314</v>
      </c>
      <c r="B9" s="42" t="s">
        <v>315</v>
      </c>
    </row>
    <row r="10" spans="1:2" ht="57.75" customHeight="1">
      <c r="A10" s="41" t="s">
        <v>316</v>
      </c>
      <c r="B10" s="42" t="s">
        <v>317</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zoomScaleNormal="100" zoomScaleSheetLayoutView="100" workbookViewId="0"/>
  </sheetViews>
  <sheetFormatPr defaultColWidth="8.85546875" defaultRowHeight="14.45"/>
  <cols>
    <col min="1" max="1" width="18.140625" customWidth="1"/>
    <col min="2" max="2" width="52.140625" customWidth="1"/>
  </cols>
  <sheetData>
    <row r="1" spans="1:2" ht="17.25" customHeight="1">
      <c r="A1" s="155" t="s">
        <v>318</v>
      </c>
      <c r="B1" s="156"/>
    </row>
    <row r="2" spans="1:2" ht="130.5" customHeight="1">
      <c r="A2" s="54" t="s">
        <v>300</v>
      </c>
      <c r="B2" s="53" t="s">
        <v>319</v>
      </c>
    </row>
    <row r="3" spans="1:2" ht="201.75" customHeight="1">
      <c r="A3" s="55" t="s">
        <v>320</v>
      </c>
      <c r="B3" s="56" t="s">
        <v>321</v>
      </c>
    </row>
    <row r="4" spans="1:2" ht="159" customHeight="1">
      <c r="A4" s="55" t="s">
        <v>322</v>
      </c>
      <c r="B4" s="56" t="s">
        <v>323</v>
      </c>
    </row>
    <row r="5" spans="1:2" ht="101.25" customHeight="1">
      <c r="A5" s="55" t="s">
        <v>324</v>
      </c>
      <c r="B5" s="56" t="s">
        <v>325</v>
      </c>
    </row>
    <row r="6" spans="1:2" ht="174" customHeight="1">
      <c r="A6" s="55" t="s">
        <v>326</v>
      </c>
      <c r="B6" s="56" t="s">
        <v>327</v>
      </c>
    </row>
    <row r="7" spans="1:2" ht="174" customHeight="1">
      <c r="A7" s="55" t="s">
        <v>328</v>
      </c>
      <c r="B7" s="56" t="s">
        <v>329</v>
      </c>
    </row>
    <row r="8" spans="1:2" ht="101.25" customHeight="1">
      <c r="A8" s="55" t="s">
        <v>330</v>
      </c>
      <c r="B8" s="56" t="s">
        <v>331</v>
      </c>
    </row>
    <row r="9" spans="1:2" ht="115.5" customHeight="1">
      <c r="A9" s="55" t="s">
        <v>332</v>
      </c>
      <c r="B9" s="56" t="s">
        <v>333</v>
      </c>
    </row>
    <row r="10" spans="1:2" ht="115.5" customHeight="1">
      <c r="A10" s="55" t="s">
        <v>314</v>
      </c>
      <c r="B10" s="56" t="s">
        <v>334</v>
      </c>
    </row>
    <row r="11" spans="1:2" ht="188.25" customHeight="1">
      <c r="A11" s="55" t="s">
        <v>335</v>
      </c>
      <c r="B11" s="56" t="s">
        <v>336</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67"/>
  <sheetViews>
    <sheetView topLeftCell="A3" zoomScaleNormal="100" zoomScaleSheetLayoutView="100" workbookViewId="0">
      <selection activeCell="L20" sqref="L20"/>
    </sheetView>
  </sheetViews>
  <sheetFormatPr defaultColWidth="8.85546875" defaultRowHeight="14.45"/>
  <cols>
    <col min="2" max="2" width="23.140625" customWidth="1"/>
    <col min="3" max="3" width="26.140625" customWidth="1"/>
    <col min="4" max="4" width="12.7109375" customWidth="1"/>
    <col min="5" max="5" width="16" customWidth="1"/>
    <col min="8" max="8" width="22.140625" customWidth="1"/>
    <col min="9" max="9" width="18.7109375" customWidth="1"/>
    <col min="10" max="10" width="28.85546875" customWidth="1"/>
    <col min="11" max="11" width="21.42578125" customWidth="1"/>
    <col min="12" max="12" width="27" customWidth="1"/>
    <col min="13" max="13" width="42" customWidth="1"/>
  </cols>
  <sheetData>
    <row r="1" spans="1:13" ht="18.75" customHeight="1">
      <c r="A1" s="157" t="s">
        <v>337</v>
      </c>
      <c r="B1" s="156"/>
      <c r="C1" s="156"/>
      <c r="D1" s="156"/>
      <c r="E1" s="156"/>
      <c r="F1" s="156"/>
      <c r="G1" s="156"/>
      <c r="H1" s="156"/>
      <c r="I1" s="156"/>
      <c r="J1" s="156"/>
      <c r="K1" s="156"/>
      <c r="L1" s="156"/>
      <c r="M1" s="156"/>
    </row>
    <row r="2" spans="1:13" ht="15" customHeight="1">
      <c r="A2" s="158" t="s">
        <v>338</v>
      </c>
      <c r="B2" s="156"/>
      <c r="C2" s="156"/>
      <c r="D2" s="156"/>
      <c r="E2" s="156"/>
      <c r="F2" s="156"/>
      <c r="G2" s="156"/>
      <c r="H2" s="156"/>
      <c r="I2" s="156"/>
      <c r="J2" s="156"/>
      <c r="K2" s="156"/>
      <c r="L2" s="156"/>
      <c r="M2" s="156"/>
    </row>
    <row r="3" spans="1:13" ht="30.75" customHeight="1">
      <c r="A3" s="87" t="s">
        <v>339</v>
      </c>
      <c r="B3" s="88" t="s">
        <v>340</v>
      </c>
      <c r="C3" s="88" t="s">
        <v>341</v>
      </c>
      <c r="D3" s="88" t="s">
        <v>92</v>
      </c>
      <c r="E3" s="88" t="s">
        <v>117</v>
      </c>
      <c r="F3" s="88" t="s">
        <v>116</v>
      </c>
      <c r="G3" s="88" t="s">
        <v>342</v>
      </c>
      <c r="H3" s="88" t="s">
        <v>343</v>
      </c>
      <c r="I3" s="88" t="s">
        <v>344</v>
      </c>
      <c r="J3" s="88" t="s">
        <v>345</v>
      </c>
      <c r="K3" s="88" t="s">
        <v>346</v>
      </c>
      <c r="L3" s="88" t="s">
        <v>347</v>
      </c>
      <c r="M3" s="88" t="s">
        <v>348</v>
      </c>
    </row>
    <row r="4" spans="1:13" ht="159" customHeight="1">
      <c r="A4" s="57">
        <v>1</v>
      </c>
      <c r="B4" s="58" t="s">
        <v>349</v>
      </c>
      <c r="C4" s="59" t="s">
        <v>350</v>
      </c>
      <c r="D4" s="59" t="s">
        <v>85</v>
      </c>
      <c r="E4" s="59" t="s">
        <v>16</v>
      </c>
      <c r="F4" s="59" t="s">
        <v>351</v>
      </c>
      <c r="G4" s="59">
        <v>5</v>
      </c>
      <c r="H4" s="59" t="s">
        <v>85</v>
      </c>
      <c r="I4" s="59" t="s">
        <v>352</v>
      </c>
      <c r="J4" s="59" t="s">
        <v>353</v>
      </c>
      <c r="K4" s="59" t="s">
        <v>354</v>
      </c>
      <c r="L4" s="59" t="s">
        <v>355</v>
      </c>
      <c r="M4" s="59" t="s">
        <v>356</v>
      </c>
    </row>
    <row r="5" spans="1:13" ht="115.5" customHeight="1">
      <c r="A5" s="57">
        <v>2</v>
      </c>
      <c r="B5" s="58" t="s">
        <v>357</v>
      </c>
      <c r="C5" s="59" t="s">
        <v>350</v>
      </c>
      <c r="D5" s="59" t="s">
        <v>101</v>
      </c>
      <c r="E5" s="59" t="s">
        <v>8</v>
      </c>
      <c r="F5" s="59" t="s">
        <v>351</v>
      </c>
      <c r="G5" s="59">
        <v>4</v>
      </c>
      <c r="H5" s="59" t="s">
        <v>101</v>
      </c>
      <c r="I5" s="59" t="s">
        <v>358</v>
      </c>
      <c r="J5" s="59" t="s">
        <v>359</v>
      </c>
      <c r="K5" s="59" t="s">
        <v>360</v>
      </c>
      <c r="L5" s="59" t="s">
        <v>361</v>
      </c>
      <c r="M5" s="59" t="s">
        <v>362</v>
      </c>
    </row>
    <row r="6" spans="1:13" ht="115.5" customHeight="1">
      <c r="A6" s="57">
        <v>3</v>
      </c>
      <c r="B6" s="58" t="s">
        <v>363</v>
      </c>
      <c r="C6" s="59" t="s">
        <v>350</v>
      </c>
      <c r="D6" s="59" t="s">
        <v>106</v>
      </c>
      <c r="E6" s="59" t="s">
        <v>8</v>
      </c>
      <c r="F6" s="59" t="s">
        <v>351</v>
      </c>
      <c r="G6" s="59">
        <v>4</v>
      </c>
      <c r="H6" s="59" t="s">
        <v>106</v>
      </c>
      <c r="I6" s="59" t="s">
        <v>364</v>
      </c>
      <c r="J6" s="59" t="s">
        <v>365</v>
      </c>
      <c r="K6" s="59" t="s">
        <v>366</v>
      </c>
      <c r="L6" s="59" t="s">
        <v>367</v>
      </c>
      <c r="M6" s="59" t="s">
        <v>368</v>
      </c>
    </row>
    <row r="7" spans="1:13" ht="115.5" customHeight="1">
      <c r="A7" s="57">
        <v>4</v>
      </c>
      <c r="B7" s="58" t="s">
        <v>369</v>
      </c>
      <c r="C7" s="59" t="s">
        <v>350</v>
      </c>
      <c r="D7" s="59" t="s">
        <v>88</v>
      </c>
      <c r="E7" s="59" t="s">
        <v>23</v>
      </c>
      <c r="F7" s="59" t="s">
        <v>351</v>
      </c>
      <c r="G7" s="59">
        <v>3</v>
      </c>
      <c r="H7" s="59" t="s">
        <v>88</v>
      </c>
      <c r="I7" s="59" t="s">
        <v>370</v>
      </c>
      <c r="J7" s="59" t="s">
        <v>371</v>
      </c>
      <c r="K7" s="59" t="s">
        <v>372</v>
      </c>
      <c r="L7" s="59" t="s">
        <v>373</v>
      </c>
      <c r="M7" s="59" t="s">
        <v>374</v>
      </c>
    </row>
    <row r="8" spans="1:13" ht="130.5" customHeight="1">
      <c r="A8" s="57">
        <v>5</v>
      </c>
      <c r="B8" s="58" t="s">
        <v>375</v>
      </c>
      <c r="C8" s="59" t="s">
        <v>350</v>
      </c>
      <c r="D8" s="59" t="s">
        <v>88</v>
      </c>
      <c r="E8" s="59" t="s">
        <v>134</v>
      </c>
      <c r="F8" s="59" t="s">
        <v>351</v>
      </c>
      <c r="G8" s="59">
        <v>3</v>
      </c>
      <c r="H8" s="59" t="s">
        <v>88</v>
      </c>
      <c r="I8" s="59" t="s">
        <v>376</v>
      </c>
      <c r="J8" s="59" t="s">
        <v>377</v>
      </c>
      <c r="K8" s="59" t="s">
        <v>378</v>
      </c>
      <c r="L8" s="59" t="s">
        <v>379</v>
      </c>
      <c r="M8" s="59" t="s">
        <v>380</v>
      </c>
    </row>
    <row r="9" spans="1:13" ht="115.5" customHeight="1">
      <c r="A9" s="57">
        <v>6</v>
      </c>
      <c r="B9" s="58" t="s">
        <v>381</v>
      </c>
      <c r="C9" s="59" t="s">
        <v>350</v>
      </c>
      <c r="D9" s="59" t="s">
        <v>106</v>
      </c>
      <c r="E9" s="59" t="s">
        <v>30</v>
      </c>
      <c r="F9" s="59" t="s">
        <v>351</v>
      </c>
      <c r="G9" s="59">
        <v>3</v>
      </c>
      <c r="H9" s="59" t="s">
        <v>382</v>
      </c>
      <c r="I9" s="59" t="s">
        <v>383</v>
      </c>
      <c r="J9" s="59" t="s">
        <v>384</v>
      </c>
      <c r="K9" s="59" t="s">
        <v>385</v>
      </c>
      <c r="L9" s="59" t="s">
        <v>386</v>
      </c>
      <c r="M9" s="59" t="s">
        <v>387</v>
      </c>
    </row>
    <row r="10" spans="1:13" ht="174" customHeight="1">
      <c r="A10" s="57">
        <v>7</v>
      </c>
      <c r="B10" s="58" t="s">
        <v>388</v>
      </c>
      <c r="C10" s="59" t="s">
        <v>350</v>
      </c>
      <c r="D10" s="59" t="s">
        <v>88</v>
      </c>
      <c r="E10" s="59" t="s">
        <v>58</v>
      </c>
      <c r="F10" s="59" t="s">
        <v>351</v>
      </c>
      <c r="G10" s="59">
        <v>3</v>
      </c>
      <c r="H10" s="59" t="s">
        <v>88</v>
      </c>
      <c r="I10" s="59" t="s">
        <v>389</v>
      </c>
      <c r="J10" s="59" t="s">
        <v>390</v>
      </c>
      <c r="K10" s="59" t="s">
        <v>391</v>
      </c>
      <c r="L10" s="59" t="s">
        <v>392</v>
      </c>
      <c r="M10" s="59" t="s">
        <v>393</v>
      </c>
    </row>
    <row r="11" spans="1:13" ht="130.5" customHeight="1">
      <c r="A11" s="57">
        <v>8</v>
      </c>
      <c r="B11" s="58" t="s">
        <v>394</v>
      </c>
      <c r="C11" s="59" t="s">
        <v>350</v>
      </c>
      <c r="D11" s="59" t="s">
        <v>106</v>
      </c>
      <c r="E11" s="59" t="s">
        <v>65</v>
      </c>
      <c r="F11" s="59" t="s">
        <v>395</v>
      </c>
      <c r="G11" s="59">
        <v>3</v>
      </c>
      <c r="H11" s="59" t="s">
        <v>106</v>
      </c>
      <c r="I11" s="59" t="s">
        <v>396</v>
      </c>
      <c r="J11" s="59" t="s">
        <v>397</v>
      </c>
      <c r="K11" s="59" t="s">
        <v>398</v>
      </c>
      <c r="L11" s="59" t="s">
        <v>399</v>
      </c>
      <c r="M11" s="59" t="s">
        <v>400</v>
      </c>
    </row>
    <row r="12" spans="1:13" ht="101.25" customHeight="1">
      <c r="A12" s="60">
        <v>9</v>
      </c>
      <c r="B12" s="61" t="s">
        <v>401</v>
      </c>
      <c r="C12" s="62" t="s">
        <v>402</v>
      </c>
      <c r="D12" s="62" t="s">
        <v>85</v>
      </c>
      <c r="E12" s="62" t="s">
        <v>23</v>
      </c>
      <c r="F12" s="62" t="s">
        <v>351</v>
      </c>
      <c r="G12" s="62">
        <v>0.40799999999999997</v>
      </c>
      <c r="H12" s="62" t="s">
        <v>403</v>
      </c>
      <c r="I12" s="62" t="s">
        <v>404</v>
      </c>
      <c r="J12" s="62" t="s">
        <v>405</v>
      </c>
      <c r="K12" s="62" t="s">
        <v>406</v>
      </c>
      <c r="L12" s="62" t="s">
        <v>407</v>
      </c>
      <c r="M12" s="62" t="s">
        <v>408</v>
      </c>
    </row>
    <row r="13" spans="1:13" ht="115.5" customHeight="1">
      <c r="A13" s="60">
        <v>10</v>
      </c>
      <c r="B13" s="61" t="s">
        <v>409</v>
      </c>
      <c r="C13" s="62" t="s">
        <v>402</v>
      </c>
      <c r="D13" s="62" t="s">
        <v>85</v>
      </c>
      <c r="E13" s="62" t="s">
        <v>8</v>
      </c>
      <c r="F13" s="62" t="s">
        <v>351</v>
      </c>
      <c r="G13" s="62">
        <v>0.375</v>
      </c>
      <c r="H13" s="62" t="s">
        <v>410</v>
      </c>
      <c r="I13" s="62" t="s">
        <v>411</v>
      </c>
      <c r="J13" s="62" t="s">
        <v>412</v>
      </c>
      <c r="K13" s="62" t="s">
        <v>413</v>
      </c>
      <c r="L13" s="62" t="s">
        <v>414</v>
      </c>
      <c r="M13" s="62" t="s">
        <v>415</v>
      </c>
    </row>
    <row r="14" spans="1:13" ht="130.5" customHeight="1">
      <c r="A14" s="63">
        <v>11</v>
      </c>
      <c r="B14" s="64" t="s">
        <v>416</v>
      </c>
      <c r="C14" s="65" t="s">
        <v>417</v>
      </c>
      <c r="D14" s="65" t="s">
        <v>85</v>
      </c>
      <c r="E14" s="65" t="s">
        <v>30</v>
      </c>
      <c r="F14" s="65" t="s">
        <v>395</v>
      </c>
      <c r="G14" s="65">
        <v>0</v>
      </c>
      <c r="H14" s="65" t="s">
        <v>85</v>
      </c>
      <c r="I14" s="65" t="s">
        <v>418</v>
      </c>
      <c r="J14" s="65" t="s">
        <v>419</v>
      </c>
      <c r="K14" s="65" t="s">
        <v>420</v>
      </c>
      <c r="L14" s="65" t="s">
        <v>421</v>
      </c>
      <c r="M14" s="65" t="s">
        <v>422</v>
      </c>
    </row>
    <row r="15" spans="1:13" ht="159" customHeight="1">
      <c r="A15" s="63">
        <v>12</v>
      </c>
      <c r="B15" s="64" t="s">
        <v>423</v>
      </c>
      <c r="C15" s="65" t="s">
        <v>417</v>
      </c>
      <c r="D15" s="65" t="s">
        <v>85</v>
      </c>
      <c r="E15" s="65" t="s">
        <v>58</v>
      </c>
      <c r="F15" s="65" t="s">
        <v>395</v>
      </c>
      <c r="G15" s="65">
        <v>0</v>
      </c>
      <c r="H15" s="65" t="s">
        <v>85</v>
      </c>
      <c r="I15" s="65" t="s">
        <v>424</v>
      </c>
      <c r="J15" s="65" t="s">
        <v>425</v>
      </c>
      <c r="K15" s="65" t="s">
        <v>426</v>
      </c>
      <c r="L15" s="65" t="s">
        <v>427</v>
      </c>
      <c r="M15" s="65" t="s">
        <v>428</v>
      </c>
    </row>
    <row r="16" spans="1:13" ht="115.5" customHeight="1">
      <c r="A16" s="63">
        <v>13</v>
      </c>
      <c r="B16" s="64" t="s">
        <v>429</v>
      </c>
      <c r="C16" s="65" t="s">
        <v>417</v>
      </c>
      <c r="D16" s="65" t="s">
        <v>85</v>
      </c>
      <c r="E16" s="65" t="s">
        <v>131</v>
      </c>
      <c r="F16" s="65" t="s">
        <v>395</v>
      </c>
      <c r="G16" s="65">
        <v>0</v>
      </c>
      <c r="H16" s="65" t="s">
        <v>85</v>
      </c>
      <c r="I16" s="65" t="s">
        <v>430</v>
      </c>
      <c r="J16" s="65" t="s">
        <v>431</v>
      </c>
      <c r="K16" s="65" t="s">
        <v>432</v>
      </c>
      <c r="L16" s="65" t="s">
        <v>433</v>
      </c>
      <c r="M16" s="65" t="s">
        <v>434</v>
      </c>
    </row>
    <row r="17" spans="1:13" ht="130.5" customHeight="1">
      <c r="A17" s="60">
        <v>14</v>
      </c>
      <c r="B17" s="61" t="s">
        <v>435</v>
      </c>
      <c r="C17" s="62" t="s">
        <v>402</v>
      </c>
      <c r="D17" s="62" t="s">
        <v>85</v>
      </c>
      <c r="E17" s="62" t="s">
        <v>134</v>
      </c>
      <c r="F17" s="62" t="s">
        <v>395</v>
      </c>
      <c r="G17" s="62">
        <v>0.22800000000000001</v>
      </c>
      <c r="H17" s="62" t="s">
        <v>436</v>
      </c>
      <c r="I17" s="62" t="s">
        <v>437</v>
      </c>
      <c r="J17" s="62" t="s">
        <v>438</v>
      </c>
      <c r="K17" s="62" t="s">
        <v>439</v>
      </c>
      <c r="L17" s="62" t="s">
        <v>440</v>
      </c>
      <c r="M17" s="62" t="s">
        <v>441</v>
      </c>
    </row>
    <row r="18" spans="1:13" ht="115.5" customHeight="1">
      <c r="A18" s="63">
        <v>15</v>
      </c>
      <c r="B18" s="64" t="s">
        <v>442</v>
      </c>
      <c r="C18" s="65" t="s">
        <v>417</v>
      </c>
      <c r="D18" s="65" t="s">
        <v>85</v>
      </c>
      <c r="E18" s="65" t="s">
        <v>51</v>
      </c>
      <c r="F18" s="65" t="s">
        <v>443</v>
      </c>
      <c r="G18" s="65">
        <v>0</v>
      </c>
      <c r="H18" s="65" t="s">
        <v>444</v>
      </c>
      <c r="I18" s="65" t="s">
        <v>445</v>
      </c>
      <c r="J18" s="65" t="s">
        <v>446</v>
      </c>
      <c r="K18" s="65" t="s">
        <v>447</v>
      </c>
      <c r="L18" s="65" t="s">
        <v>448</v>
      </c>
      <c r="M18" s="65" t="s">
        <v>449</v>
      </c>
    </row>
    <row r="19" spans="1:13" ht="115.5" customHeight="1">
      <c r="A19" s="63">
        <v>16</v>
      </c>
      <c r="B19" s="64" t="s">
        <v>450</v>
      </c>
      <c r="C19" s="65" t="s">
        <v>417</v>
      </c>
      <c r="D19" s="65" t="s">
        <v>85</v>
      </c>
      <c r="E19" s="65" t="s">
        <v>72</v>
      </c>
      <c r="F19" s="65" t="s">
        <v>443</v>
      </c>
      <c r="G19" s="65">
        <v>0</v>
      </c>
      <c r="H19" s="65" t="s">
        <v>451</v>
      </c>
      <c r="I19" s="65" t="s">
        <v>452</v>
      </c>
      <c r="J19" s="65" t="s">
        <v>453</v>
      </c>
      <c r="K19" s="65" t="s">
        <v>454</v>
      </c>
      <c r="L19" s="65" t="s">
        <v>455</v>
      </c>
      <c r="M19" s="65" t="s">
        <v>456</v>
      </c>
    </row>
    <row r="20" spans="1:13" ht="144.75" customHeight="1">
      <c r="A20" s="63">
        <v>17</v>
      </c>
      <c r="B20" s="64" t="s">
        <v>457</v>
      </c>
      <c r="C20" s="65" t="s">
        <v>417</v>
      </c>
      <c r="D20" s="65" t="s">
        <v>85</v>
      </c>
      <c r="E20" s="65" t="s">
        <v>65</v>
      </c>
      <c r="F20" s="65" t="s">
        <v>443</v>
      </c>
      <c r="G20" s="65">
        <v>0</v>
      </c>
      <c r="H20" s="65" t="s">
        <v>458</v>
      </c>
      <c r="I20" s="65" t="s">
        <v>459</v>
      </c>
      <c r="J20" s="65" t="s">
        <v>460</v>
      </c>
      <c r="K20" s="65" t="s">
        <v>461</v>
      </c>
      <c r="L20" s="65" t="s">
        <v>462</v>
      </c>
      <c r="M20" s="65" t="s">
        <v>463</v>
      </c>
    </row>
    <row r="21" spans="1:13" ht="144.75" customHeight="1">
      <c r="A21" s="63">
        <v>18</v>
      </c>
      <c r="B21" s="64" t="s">
        <v>464</v>
      </c>
      <c r="C21" s="65" t="s">
        <v>417</v>
      </c>
      <c r="D21" s="65" t="s">
        <v>85</v>
      </c>
      <c r="E21" s="65" t="s">
        <v>44</v>
      </c>
      <c r="F21" s="65" t="s">
        <v>443</v>
      </c>
      <c r="G21" s="65">
        <v>0</v>
      </c>
      <c r="H21" s="65" t="s">
        <v>465</v>
      </c>
      <c r="I21" s="65" t="s">
        <v>466</v>
      </c>
      <c r="J21" s="65" t="s">
        <v>467</v>
      </c>
      <c r="K21" s="65" t="s">
        <v>468</v>
      </c>
      <c r="L21" s="65" t="s">
        <v>469</v>
      </c>
      <c r="M21" s="65" t="s">
        <v>470</v>
      </c>
    </row>
    <row r="22" spans="1:13" ht="72.75" customHeight="1">
      <c r="A22" s="60">
        <v>19</v>
      </c>
      <c r="B22" s="61" t="s">
        <v>471</v>
      </c>
      <c r="C22" s="62" t="s">
        <v>402</v>
      </c>
      <c r="D22" s="62" t="s">
        <v>101</v>
      </c>
      <c r="E22" s="62" t="s">
        <v>23</v>
      </c>
      <c r="F22" s="62" t="s">
        <v>351</v>
      </c>
      <c r="G22" s="62">
        <v>0.40799999999999997</v>
      </c>
      <c r="H22" s="62" t="s">
        <v>472</v>
      </c>
      <c r="I22" s="62" t="s">
        <v>473</v>
      </c>
      <c r="J22" s="62" t="s">
        <v>474</v>
      </c>
      <c r="K22" s="62" t="s">
        <v>475</v>
      </c>
      <c r="L22" s="62" t="s">
        <v>476</v>
      </c>
      <c r="M22" s="62" t="s">
        <v>477</v>
      </c>
    </row>
    <row r="23" spans="1:13" ht="159" customHeight="1">
      <c r="A23" s="60">
        <v>20</v>
      </c>
      <c r="B23" s="61" t="s">
        <v>478</v>
      </c>
      <c r="C23" s="62" t="s">
        <v>402</v>
      </c>
      <c r="D23" s="62" t="s">
        <v>101</v>
      </c>
      <c r="E23" s="62" t="s">
        <v>16</v>
      </c>
      <c r="F23" s="62" t="s">
        <v>351</v>
      </c>
      <c r="G23" s="62">
        <v>0.42</v>
      </c>
      <c r="H23" s="62" t="s">
        <v>479</v>
      </c>
      <c r="I23" s="62" t="s">
        <v>480</v>
      </c>
      <c r="J23" s="62" t="s">
        <v>419</v>
      </c>
      <c r="K23" s="62" t="s">
        <v>481</v>
      </c>
      <c r="L23" s="62" t="s">
        <v>482</v>
      </c>
      <c r="M23" s="62" t="s">
        <v>483</v>
      </c>
    </row>
    <row r="24" spans="1:13" ht="101.25" customHeight="1">
      <c r="A24" s="60">
        <v>21</v>
      </c>
      <c r="B24" s="61" t="s">
        <v>484</v>
      </c>
      <c r="C24" s="62" t="s">
        <v>402</v>
      </c>
      <c r="D24" s="62" t="s">
        <v>101</v>
      </c>
      <c r="E24" s="62" t="s">
        <v>134</v>
      </c>
      <c r="F24" s="62" t="s">
        <v>395</v>
      </c>
      <c r="G24" s="62">
        <v>0.22800000000000001</v>
      </c>
      <c r="H24" s="62" t="s">
        <v>485</v>
      </c>
      <c r="I24" s="62" t="s">
        <v>486</v>
      </c>
      <c r="J24" s="62" t="s">
        <v>487</v>
      </c>
      <c r="K24" s="62" t="s">
        <v>488</v>
      </c>
      <c r="L24" s="62" t="s">
        <v>489</v>
      </c>
      <c r="M24" s="62" t="s">
        <v>490</v>
      </c>
    </row>
    <row r="25" spans="1:13" ht="144.75" customHeight="1">
      <c r="A25" s="63">
        <v>22</v>
      </c>
      <c r="B25" s="64" t="s">
        <v>491</v>
      </c>
      <c r="C25" s="65" t="s">
        <v>417</v>
      </c>
      <c r="D25" s="65" t="s">
        <v>101</v>
      </c>
      <c r="E25" s="65" t="s">
        <v>30</v>
      </c>
      <c r="F25" s="65" t="s">
        <v>395</v>
      </c>
      <c r="G25" s="65">
        <v>0</v>
      </c>
      <c r="H25" s="65" t="s">
        <v>492</v>
      </c>
      <c r="I25" s="65" t="s">
        <v>493</v>
      </c>
      <c r="J25" s="65" t="s">
        <v>494</v>
      </c>
      <c r="K25" s="65" t="s">
        <v>495</v>
      </c>
      <c r="L25" s="65" t="s">
        <v>496</v>
      </c>
      <c r="M25" s="65" t="s">
        <v>497</v>
      </c>
    </row>
    <row r="26" spans="1:13" ht="101.25" customHeight="1">
      <c r="A26" s="63">
        <v>23</v>
      </c>
      <c r="B26" s="64" t="s">
        <v>498</v>
      </c>
      <c r="C26" s="65" t="s">
        <v>417</v>
      </c>
      <c r="D26" s="65" t="s">
        <v>101</v>
      </c>
      <c r="E26" s="65" t="s">
        <v>65</v>
      </c>
      <c r="F26" s="65" t="s">
        <v>395</v>
      </c>
      <c r="G26" s="65">
        <v>0</v>
      </c>
      <c r="H26" s="65" t="s">
        <v>499</v>
      </c>
      <c r="I26" s="65" t="s">
        <v>500</v>
      </c>
      <c r="J26" s="65" t="s">
        <v>501</v>
      </c>
      <c r="K26" s="65" t="s">
        <v>502</v>
      </c>
      <c r="L26" s="65" t="s">
        <v>503</v>
      </c>
      <c r="M26" s="65" t="s">
        <v>504</v>
      </c>
    </row>
    <row r="27" spans="1:13" ht="144.75" customHeight="1">
      <c r="A27" s="60">
        <v>24</v>
      </c>
      <c r="B27" s="61" t="s">
        <v>505</v>
      </c>
      <c r="C27" s="62" t="s">
        <v>402</v>
      </c>
      <c r="D27" s="62" t="s">
        <v>101</v>
      </c>
      <c r="E27" s="62" t="s">
        <v>72</v>
      </c>
      <c r="F27" s="62" t="s">
        <v>395</v>
      </c>
      <c r="G27" s="62">
        <v>0.114</v>
      </c>
      <c r="H27" s="62" t="s">
        <v>506</v>
      </c>
      <c r="I27" s="62" t="s">
        <v>507</v>
      </c>
      <c r="J27" s="62" t="s">
        <v>508</v>
      </c>
      <c r="K27" s="62" t="s">
        <v>509</v>
      </c>
      <c r="L27" s="62" t="s">
        <v>510</v>
      </c>
      <c r="M27" s="62" t="s">
        <v>511</v>
      </c>
    </row>
    <row r="28" spans="1:13" ht="130.5" customHeight="1">
      <c r="A28" s="63">
        <v>25</v>
      </c>
      <c r="B28" s="64" t="s">
        <v>512</v>
      </c>
      <c r="C28" s="65" t="s">
        <v>417</v>
      </c>
      <c r="D28" s="65" t="s">
        <v>101</v>
      </c>
      <c r="E28" s="65" t="s">
        <v>58</v>
      </c>
      <c r="F28" s="65" t="s">
        <v>443</v>
      </c>
      <c r="G28" s="65">
        <v>0</v>
      </c>
      <c r="H28" s="65" t="s">
        <v>101</v>
      </c>
      <c r="I28" s="65" t="s">
        <v>513</v>
      </c>
      <c r="J28" s="65" t="s">
        <v>514</v>
      </c>
      <c r="K28" s="65" t="s">
        <v>515</v>
      </c>
      <c r="L28" s="65" t="s">
        <v>516</v>
      </c>
      <c r="M28" s="65" t="s">
        <v>517</v>
      </c>
    </row>
    <row r="29" spans="1:13" ht="115.5" customHeight="1">
      <c r="A29" s="63">
        <v>26</v>
      </c>
      <c r="B29" s="64" t="s">
        <v>518</v>
      </c>
      <c r="C29" s="65" t="s">
        <v>417</v>
      </c>
      <c r="D29" s="65" t="s">
        <v>101</v>
      </c>
      <c r="E29" s="65" t="s">
        <v>51</v>
      </c>
      <c r="F29" s="65" t="s">
        <v>443</v>
      </c>
      <c r="G29" s="65">
        <v>0</v>
      </c>
      <c r="H29" s="65" t="s">
        <v>519</v>
      </c>
      <c r="I29" s="65" t="s">
        <v>520</v>
      </c>
      <c r="J29" s="65" t="s">
        <v>521</v>
      </c>
      <c r="K29" s="65" t="s">
        <v>522</v>
      </c>
      <c r="L29" s="65" t="s">
        <v>523</v>
      </c>
      <c r="M29" s="65" t="s">
        <v>524</v>
      </c>
    </row>
    <row r="30" spans="1:13" ht="87" customHeight="1">
      <c r="A30" s="60">
        <v>27</v>
      </c>
      <c r="B30" s="61" t="s">
        <v>525</v>
      </c>
      <c r="C30" s="62" t="s">
        <v>402</v>
      </c>
      <c r="D30" s="62" t="s">
        <v>101</v>
      </c>
      <c r="E30" s="62" t="s">
        <v>131</v>
      </c>
      <c r="F30" s="62" t="s">
        <v>443</v>
      </c>
      <c r="G30" s="62">
        <v>6.0999999999999999E-2</v>
      </c>
      <c r="H30" s="62" t="s">
        <v>526</v>
      </c>
      <c r="I30" s="62" t="s">
        <v>527</v>
      </c>
      <c r="J30" s="62" t="s">
        <v>528</v>
      </c>
      <c r="K30" s="62" t="s">
        <v>529</v>
      </c>
      <c r="L30" s="62" t="s">
        <v>530</v>
      </c>
      <c r="M30" s="62" t="s">
        <v>531</v>
      </c>
    </row>
    <row r="31" spans="1:13" ht="101.25" customHeight="1">
      <c r="A31" s="63">
        <v>28</v>
      </c>
      <c r="B31" s="64" t="s">
        <v>532</v>
      </c>
      <c r="C31" s="65" t="s">
        <v>417</v>
      </c>
      <c r="D31" s="65" t="s">
        <v>101</v>
      </c>
      <c r="E31" s="65" t="s">
        <v>44</v>
      </c>
      <c r="F31" s="65" t="s">
        <v>443</v>
      </c>
      <c r="G31" s="65">
        <v>0</v>
      </c>
      <c r="H31" s="65" t="s">
        <v>101</v>
      </c>
      <c r="I31" s="65" t="s">
        <v>533</v>
      </c>
      <c r="J31" s="65" t="s">
        <v>419</v>
      </c>
      <c r="K31" s="65" t="s">
        <v>534</v>
      </c>
      <c r="L31" s="65" t="s">
        <v>535</v>
      </c>
      <c r="M31" s="65" t="s">
        <v>536</v>
      </c>
    </row>
    <row r="32" spans="1:13" ht="144.75" customHeight="1">
      <c r="A32" s="60">
        <v>29</v>
      </c>
      <c r="B32" s="61" t="s">
        <v>537</v>
      </c>
      <c r="C32" s="62" t="s">
        <v>402</v>
      </c>
      <c r="D32" s="62" t="s">
        <v>106</v>
      </c>
      <c r="E32" s="62" t="s">
        <v>16</v>
      </c>
      <c r="F32" s="62" t="s">
        <v>351</v>
      </c>
      <c r="G32" s="62">
        <v>0.42</v>
      </c>
      <c r="H32" s="62" t="s">
        <v>538</v>
      </c>
      <c r="I32" s="62" t="s">
        <v>539</v>
      </c>
      <c r="J32" s="62" t="s">
        <v>419</v>
      </c>
      <c r="K32" s="62" t="s">
        <v>540</v>
      </c>
      <c r="L32" s="62" t="s">
        <v>541</v>
      </c>
      <c r="M32" s="62" t="s">
        <v>542</v>
      </c>
    </row>
    <row r="33" spans="1:13" ht="87" customHeight="1">
      <c r="A33" s="63">
        <v>30</v>
      </c>
      <c r="B33" s="64" t="s">
        <v>543</v>
      </c>
      <c r="C33" s="65" t="s">
        <v>417</v>
      </c>
      <c r="D33" s="65" t="s">
        <v>106</v>
      </c>
      <c r="E33" s="65" t="s">
        <v>23</v>
      </c>
      <c r="F33" s="65" t="s">
        <v>395</v>
      </c>
      <c r="G33" s="65">
        <v>0</v>
      </c>
      <c r="H33" s="65" t="s">
        <v>544</v>
      </c>
      <c r="I33" s="65" t="s">
        <v>545</v>
      </c>
      <c r="J33" s="65" t="s">
        <v>419</v>
      </c>
      <c r="K33" s="65" t="s">
        <v>546</v>
      </c>
      <c r="L33" s="65" t="s">
        <v>547</v>
      </c>
      <c r="M33" s="65" t="s">
        <v>548</v>
      </c>
    </row>
    <row r="34" spans="1:13" ht="101.25" customHeight="1">
      <c r="A34" s="63">
        <v>31</v>
      </c>
      <c r="B34" s="64" t="s">
        <v>549</v>
      </c>
      <c r="C34" s="65" t="s">
        <v>417</v>
      </c>
      <c r="D34" s="65" t="s">
        <v>106</v>
      </c>
      <c r="E34" s="65" t="s">
        <v>134</v>
      </c>
      <c r="F34" s="65" t="s">
        <v>395</v>
      </c>
      <c r="G34" s="65">
        <v>0</v>
      </c>
      <c r="H34" s="65" t="s">
        <v>550</v>
      </c>
      <c r="I34" s="65" t="s">
        <v>551</v>
      </c>
      <c r="J34" s="65" t="s">
        <v>552</v>
      </c>
      <c r="K34" s="65" t="s">
        <v>553</v>
      </c>
      <c r="L34" s="65" t="s">
        <v>554</v>
      </c>
      <c r="M34" s="65" t="s">
        <v>555</v>
      </c>
    </row>
    <row r="35" spans="1:13" ht="87" customHeight="1">
      <c r="A35" s="63">
        <v>32</v>
      </c>
      <c r="B35" s="64" t="s">
        <v>556</v>
      </c>
      <c r="C35" s="65" t="s">
        <v>417</v>
      </c>
      <c r="D35" s="65" t="s">
        <v>106</v>
      </c>
      <c r="E35" s="65" t="s">
        <v>58</v>
      </c>
      <c r="F35" s="65" t="s">
        <v>395</v>
      </c>
      <c r="G35" s="65">
        <v>0</v>
      </c>
      <c r="H35" s="65" t="s">
        <v>557</v>
      </c>
      <c r="I35" s="65" t="s">
        <v>558</v>
      </c>
      <c r="J35" s="65" t="s">
        <v>559</v>
      </c>
      <c r="K35" s="65" t="s">
        <v>560</v>
      </c>
      <c r="L35" s="65" t="s">
        <v>561</v>
      </c>
      <c r="M35" s="65" t="s">
        <v>562</v>
      </c>
    </row>
    <row r="36" spans="1:13" ht="87" customHeight="1">
      <c r="A36" s="60">
        <v>33</v>
      </c>
      <c r="B36" s="61" t="s">
        <v>563</v>
      </c>
      <c r="C36" s="62" t="s">
        <v>402</v>
      </c>
      <c r="D36" s="62" t="s">
        <v>106</v>
      </c>
      <c r="E36" s="62" t="s">
        <v>58</v>
      </c>
      <c r="F36" s="62" t="s">
        <v>395</v>
      </c>
      <c r="G36" s="62">
        <v>0.19700000000000001</v>
      </c>
      <c r="H36" s="62" t="s">
        <v>564</v>
      </c>
      <c r="I36" s="62" t="s">
        <v>565</v>
      </c>
      <c r="J36" s="62" t="s">
        <v>566</v>
      </c>
      <c r="K36" s="62" t="s">
        <v>567</v>
      </c>
      <c r="L36" s="62" t="s">
        <v>568</v>
      </c>
      <c r="M36" s="62" t="s">
        <v>569</v>
      </c>
    </row>
    <row r="37" spans="1:13" ht="115.5" customHeight="1">
      <c r="A37" s="63">
        <v>34</v>
      </c>
      <c r="B37" s="64" t="s">
        <v>570</v>
      </c>
      <c r="C37" s="65" t="s">
        <v>417</v>
      </c>
      <c r="D37" s="65" t="s">
        <v>106</v>
      </c>
      <c r="E37" s="65" t="s">
        <v>51</v>
      </c>
      <c r="F37" s="65" t="s">
        <v>443</v>
      </c>
      <c r="G37" s="65">
        <v>0</v>
      </c>
      <c r="H37" s="65" t="s">
        <v>571</v>
      </c>
      <c r="I37" s="65" t="s">
        <v>572</v>
      </c>
      <c r="J37" s="65" t="s">
        <v>573</v>
      </c>
      <c r="K37" s="65" t="s">
        <v>574</v>
      </c>
      <c r="L37" s="65" t="s">
        <v>575</v>
      </c>
      <c r="M37" s="65" t="s">
        <v>576</v>
      </c>
    </row>
    <row r="38" spans="1:13" ht="101.25" customHeight="1">
      <c r="A38" s="63">
        <v>35</v>
      </c>
      <c r="B38" s="64" t="s">
        <v>577</v>
      </c>
      <c r="C38" s="65" t="s">
        <v>417</v>
      </c>
      <c r="D38" s="65" t="s">
        <v>106</v>
      </c>
      <c r="E38" s="65" t="s">
        <v>44</v>
      </c>
      <c r="F38" s="65" t="s">
        <v>443</v>
      </c>
      <c r="G38" s="65">
        <v>0</v>
      </c>
      <c r="H38" s="65" t="s">
        <v>106</v>
      </c>
      <c r="I38" s="65" t="s">
        <v>578</v>
      </c>
      <c r="J38" s="65" t="s">
        <v>419</v>
      </c>
      <c r="K38" s="65" t="s">
        <v>579</v>
      </c>
      <c r="L38" s="65" t="s">
        <v>580</v>
      </c>
      <c r="M38" s="65" t="s">
        <v>581</v>
      </c>
    </row>
    <row r="39" spans="1:13" ht="115.5" customHeight="1">
      <c r="A39" s="63">
        <v>36</v>
      </c>
      <c r="B39" s="64" t="s">
        <v>582</v>
      </c>
      <c r="C39" s="65" t="s">
        <v>417</v>
      </c>
      <c r="D39" s="65" t="s">
        <v>106</v>
      </c>
      <c r="E39" s="65" t="s">
        <v>72</v>
      </c>
      <c r="F39" s="65" t="s">
        <v>443</v>
      </c>
      <c r="G39" s="65">
        <v>0</v>
      </c>
      <c r="H39" s="65" t="s">
        <v>583</v>
      </c>
      <c r="I39" s="65" t="s">
        <v>584</v>
      </c>
      <c r="J39" s="65" t="s">
        <v>585</v>
      </c>
      <c r="K39" s="65" t="s">
        <v>586</v>
      </c>
      <c r="L39" s="65" t="s">
        <v>587</v>
      </c>
      <c r="M39" s="65" t="s">
        <v>588</v>
      </c>
    </row>
    <row r="40" spans="1:13" ht="130.5" customHeight="1">
      <c r="A40" s="63">
        <v>37</v>
      </c>
      <c r="B40" s="64" t="s">
        <v>589</v>
      </c>
      <c r="C40" s="65" t="s">
        <v>417</v>
      </c>
      <c r="D40" s="65" t="s">
        <v>88</v>
      </c>
      <c r="E40" s="65" t="s">
        <v>16</v>
      </c>
      <c r="F40" s="65" t="s">
        <v>395</v>
      </c>
      <c r="G40" s="65">
        <v>0</v>
      </c>
      <c r="H40" s="65" t="s">
        <v>590</v>
      </c>
      <c r="I40" s="65" t="s">
        <v>591</v>
      </c>
      <c r="J40" s="65" t="s">
        <v>592</v>
      </c>
      <c r="K40" s="65" t="s">
        <v>593</v>
      </c>
      <c r="L40" s="65" t="s">
        <v>594</v>
      </c>
      <c r="M40" s="65" t="s">
        <v>595</v>
      </c>
    </row>
    <row r="41" spans="1:13" ht="115.5" customHeight="1">
      <c r="A41" s="60">
        <v>38</v>
      </c>
      <c r="B41" s="61" t="s">
        <v>596</v>
      </c>
      <c r="C41" s="62" t="s">
        <v>402</v>
      </c>
      <c r="D41" s="62" t="s">
        <v>88</v>
      </c>
      <c r="E41" s="62" t="s">
        <v>51</v>
      </c>
      <c r="F41" s="62" t="s">
        <v>395</v>
      </c>
      <c r="G41" s="62">
        <v>0.128</v>
      </c>
      <c r="H41" s="62" t="s">
        <v>88</v>
      </c>
      <c r="I41" s="62" t="s">
        <v>597</v>
      </c>
      <c r="J41" s="62" t="s">
        <v>598</v>
      </c>
      <c r="K41" s="62" t="s">
        <v>599</v>
      </c>
      <c r="L41" s="62" t="s">
        <v>600</v>
      </c>
      <c r="M41" s="62" t="s">
        <v>601</v>
      </c>
    </row>
    <row r="42" spans="1:13" ht="87" customHeight="1">
      <c r="A42" s="63">
        <v>39</v>
      </c>
      <c r="B42" s="64" t="s">
        <v>602</v>
      </c>
      <c r="C42" s="65" t="s">
        <v>417</v>
      </c>
      <c r="D42" s="65" t="s">
        <v>88</v>
      </c>
      <c r="E42" s="65" t="s">
        <v>72</v>
      </c>
      <c r="F42" s="65" t="s">
        <v>395</v>
      </c>
      <c r="G42" s="65">
        <v>0</v>
      </c>
      <c r="H42" s="65" t="s">
        <v>603</v>
      </c>
      <c r="I42" s="65" t="s">
        <v>604</v>
      </c>
      <c r="J42" s="65" t="s">
        <v>605</v>
      </c>
      <c r="K42" s="65" t="s">
        <v>606</v>
      </c>
      <c r="L42" s="65" t="s">
        <v>607</v>
      </c>
      <c r="M42" s="65" t="s">
        <v>608</v>
      </c>
    </row>
    <row r="43" spans="1:13" ht="87" customHeight="1">
      <c r="A43" s="63">
        <v>40</v>
      </c>
      <c r="B43" s="64" t="s">
        <v>609</v>
      </c>
      <c r="C43" s="65" t="s">
        <v>417</v>
      </c>
      <c r="D43" s="65" t="s">
        <v>88</v>
      </c>
      <c r="E43" s="65" t="s">
        <v>44</v>
      </c>
      <c r="F43" s="65" t="s">
        <v>395</v>
      </c>
      <c r="G43" s="65">
        <v>0</v>
      </c>
      <c r="H43" s="65" t="s">
        <v>88</v>
      </c>
      <c r="I43" s="65" t="s">
        <v>610</v>
      </c>
      <c r="J43" s="65" t="s">
        <v>419</v>
      </c>
      <c r="K43" s="65" t="s">
        <v>611</v>
      </c>
      <c r="L43" s="65" t="s">
        <v>612</v>
      </c>
      <c r="M43" s="65" t="s">
        <v>613</v>
      </c>
    </row>
    <row r="44" spans="1:13" ht="101.25" customHeight="1">
      <c r="A44" s="63">
        <v>41</v>
      </c>
      <c r="B44" s="64" t="s">
        <v>614</v>
      </c>
      <c r="C44" s="65" t="s">
        <v>417</v>
      </c>
      <c r="D44" s="65" t="s">
        <v>88</v>
      </c>
      <c r="E44" s="65" t="s">
        <v>131</v>
      </c>
      <c r="F44" s="65" t="s">
        <v>443</v>
      </c>
      <c r="G44" s="65">
        <v>0</v>
      </c>
      <c r="H44" s="65" t="s">
        <v>615</v>
      </c>
      <c r="I44" s="65" t="s">
        <v>616</v>
      </c>
      <c r="J44" s="65" t="s">
        <v>419</v>
      </c>
      <c r="K44" s="65" t="s">
        <v>617</v>
      </c>
      <c r="L44" s="65" t="s">
        <v>618</v>
      </c>
      <c r="M44" s="65" t="s">
        <v>619</v>
      </c>
    </row>
    <row r="45" spans="1:13" ht="144.75" customHeight="1">
      <c r="A45" s="63">
        <v>42</v>
      </c>
      <c r="B45" s="64" t="s">
        <v>620</v>
      </c>
      <c r="C45" s="65" t="s">
        <v>417</v>
      </c>
      <c r="D45" s="65" t="s">
        <v>88</v>
      </c>
      <c r="E45" s="65" t="s">
        <v>65</v>
      </c>
      <c r="F45" s="65" t="s">
        <v>443</v>
      </c>
      <c r="G45" s="65">
        <v>0</v>
      </c>
      <c r="H45" s="65" t="s">
        <v>621</v>
      </c>
      <c r="I45" s="65" t="s">
        <v>622</v>
      </c>
      <c r="J45" s="65" t="s">
        <v>623</v>
      </c>
      <c r="K45" s="65" t="s">
        <v>624</v>
      </c>
      <c r="L45" s="65" t="s">
        <v>625</v>
      </c>
      <c r="M45" s="65" t="s">
        <v>626</v>
      </c>
    </row>
    <row r="46" spans="1:13" ht="101.25" customHeight="1">
      <c r="A46" s="63">
        <v>43</v>
      </c>
      <c r="B46" s="64" t="s">
        <v>627</v>
      </c>
      <c r="C46" s="65" t="s">
        <v>417</v>
      </c>
      <c r="D46" s="65" t="s">
        <v>88</v>
      </c>
      <c r="E46" s="65" t="s">
        <v>8</v>
      </c>
      <c r="F46" s="65" t="s">
        <v>443</v>
      </c>
      <c r="G46" s="65">
        <v>0</v>
      </c>
      <c r="H46" s="65" t="s">
        <v>628</v>
      </c>
      <c r="I46" s="65" t="s">
        <v>629</v>
      </c>
      <c r="J46" s="65" t="s">
        <v>630</v>
      </c>
      <c r="K46" s="65" t="s">
        <v>631</v>
      </c>
      <c r="L46" s="65" t="s">
        <v>632</v>
      </c>
      <c r="M46" s="65" t="s">
        <v>633</v>
      </c>
    </row>
    <row r="47" spans="1:13" ht="115.5" customHeight="1">
      <c r="A47" s="63">
        <v>44</v>
      </c>
      <c r="B47" s="64" t="s">
        <v>634</v>
      </c>
      <c r="C47" s="65" t="s">
        <v>417</v>
      </c>
      <c r="D47" s="65" t="s">
        <v>88</v>
      </c>
      <c r="E47" s="65" t="s">
        <v>30</v>
      </c>
      <c r="F47" s="65" t="s">
        <v>443</v>
      </c>
      <c r="G47" s="65">
        <v>0</v>
      </c>
      <c r="H47" s="65" t="s">
        <v>88</v>
      </c>
      <c r="I47" s="65" t="s">
        <v>635</v>
      </c>
      <c r="J47" s="65" t="s">
        <v>419</v>
      </c>
      <c r="K47" s="65" t="s">
        <v>636</v>
      </c>
      <c r="L47" s="65" t="s">
        <v>637</v>
      </c>
      <c r="M47" s="65" t="s">
        <v>638</v>
      </c>
    </row>
    <row r="48" spans="1:13" ht="101.25" customHeight="1">
      <c r="A48" s="66">
        <v>45</v>
      </c>
      <c r="B48" s="67" t="s">
        <v>639</v>
      </c>
      <c r="C48" s="68" t="s">
        <v>640</v>
      </c>
      <c r="D48" s="68" t="s">
        <v>641</v>
      </c>
      <c r="E48" s="68" t="s">
        <v>79</v>
      </c>
      <c r="F48" s="68" t="s">
        <v>351</v>
      </c>
      <c r="G48" s="68" t="s">
        <v>14</v>
      </c>
      <c r="H48" s="68" t="s">
        <v>642</v>
      </c>
      <c r="I48" s="68" t="s">
        <v>643</v>
      </c>
      <c r="J48" s="68" t="s">
        <v>644</v>
      </c>
      <c r="K48" s="68" t="s">
        <v>645</v>
      </c>
      <c r="L48" s="68" t="s">
        <v>646</v>
      </c>
      <c r="M48" s="68" t="s">
        <v>647</v>
      </c>
    </row>
    <row r="49" spans="1:13" ht="115.5" customHeight="1">
      <c r="A49" s="66">
        <v>46</v>
      </c>
      <c r="B49" s="67" t="s">
        <v>648</v>
      </c>
      <c r="C49" s="68" t="s">
        <v>640</v>
      </c>
      <c r="D49" s="68" t="s">
        <v>641</v>
      </c>
      <c r="E49" s="68" t="s">
        <v>649</v>
      </c>
      <c r="F49" s="68" t="s">
        <v>351</v>
      </c>
      <c r="G49" s="68" t="s">
        <v>14</v>
      </c>
      <c r="H49" s="68" t="s">
        <v>650</v>
      </c>
      <c r="I49" s="68" t="s">
        <v>651</v>
      </c>
      <c r="J49" s="68" t="s">
        <v>652</v>
      </c>
      <c r="K49" s="68" t="s">
        <v>653</v>
      </c>
      <c r="L49" s="68" t="s">
        <v>654</v>
      </c>
      <c r="M49" s="68" t="s">
        <v>655</v>
      </c>
    </row>
    <row r="50" spans="1:13" ht="101.25" customHeight="1">
      <c r="A50" s="66">
        <v>47</v>
      </c>
      <c r="B50" s="67" t="s">
        <v>656</v>
      </c>
      <c r="C50" s="68" t="s">
        <v>640</v>
      </c>
      <c r="D50" s="68" t="s">
        <v>641</v>
      </c>
      <c r="E50" s="68" t="s">
        <v>657</v>
      </c>
      <c r="F50" s="68" t="s">
        <v>395</v>
      </c>
      <c r="G50" s="68" t="s">
        <v>14</v>
      </c>
      <c r="H50" s="68" t="s">
        <v>85</v>
      </c>
      <c r="I50" s="68" t="s">
        <v>658</v>
      </c>
      <c r="J50" s="68" t="s">
        <v>644</v>
      </c>
      <c r="K50" s="68" t="s">
        <v>659</v>
      </c>
      <c r="L50" s="68" t="s">
        <v>660</v>
      </c>
      <c r="M50" s="68" t="s">
        <v>661</v>
      </c>
    </row>
    <row r="51" spans="1:13" ht="87" customHeight="1">
      <c r="A51" s="66">
        <v>48</v>
      </c>
      <c r="B51" s="67" t="s">
        <v>662</v>
      </c>
      <c r="C51" s="68" t="s">
        <v>640</v>
      </c>
      <c r="D51" s="68" t="s">
        <v>641</v>
      </c>
      <c r="E51" s="68" t="s">
        <v>663</v>
      </c>
      <c r="F51" s="68" t="s">
        <v>395</v>
      </c>
      <c r="G51" s="68" t="s">
        <v>14</v>
      </c>
      <c r="H51" s="68" t="s">
        <v>664</v>
      </c>
      <c r="I51" s="68" t="s">
        <v>665</v>
      </c>
      <c r="J51" s="68" t="s">
        <v>666</v>
      </c>
      <c r="K51" s="68" t="s">
        <v>667</v>
      </c>
      <c r="L51" s="68" t="s">
        <v>668</v>
      </c>
      <c r="M51" s="68" t="s">
        <v>669</v>
      </c>
    </row>
    <row r="52" spans="1:13" ht="87" customHeight="1">
      <c r="A52" s="66">
        <v>49</v>
      </c>
      <c r="B52" s="67" t="s">
        <v>670</v>
      </c>
      <c r="C52" s="68" t="s">
        <v>640</v>
      </c>
      <c r="D52" s="68" t="s">
        <v>641</v>
      </c>
      <c r="E52" s="68" t="s">
        <v>671</v>
      </c>
      <c r="F52" s="68" t="s">
        <v>395</v>
      </c>
      <c r="G52" s="68" t="s">
        <v>14</v>
      </c>
      <c r="H52" s="68" t="s">
        <v>672</v>
      </c>
      <c r="I52" s="68" t="s">
        <v>673</v>
      </c>
      <c r="J52" s="68" t="s">
        <v>674</v>
      </c>
      <c r="K52" s="68" t="s">
        <v>675</v>
      </c>
      <c r="L52" s="68" t="s">
        <v>676</v>
      </c>
      <c r="M52" s="68" t="s">
        <v>677</v>
      </c>
    </row>
    <row r="53" spans="1:13" ht="72.75" customHeight="1">
      <c r="A53" s="66">
        <v>50</v>
      </c>
      <c r="B53" s="67" t="s">
        <v>678</v>
      </c>
      <c r="C53" s="68" t="s">
        <v>640</v>
      </c>
      <c r="D53" s="68" t="s">
        <v>641</v>
      </c>
      <c r="E53" s="68" t="s">
        <v>679</v>
      </c>
      <c r="F53" s="68" t="s">
        <v>395</v>
      </c>
      <c r="G53" s="68" t="s">
        <v>14</v>
      </c>
      <c r="H53" s="68" t="s">
        <v>680</v>
      </c>
      <c r="I53" s="68" t="s">
        <v>681</v>
      </c>
      <c r="J53" s="68" t="s">
        <v>682</v>
      </c>
      <c r="K53" s="68" t="s">
        <v>683</v>
      </c>
      <c r="L53" s="68" t="s">
        <v>684</v>
      </c>
      <c r="M53" s="68" t="s">
        <v>685</v>
      </c>
    </row>
    <row r="54" spans="1:13" ht="87" customHeight="1">
      <c r="A54" s="66">
        <v>51</v>
      </c>
      <c r="B54" s="67" t="s">
        <v>686</v>
      </c>
      <c r="C54" s="68" t="s">
        <v>640</v>
      </c>
      <c r="D54" s="68" t="s">
        <v>641</v>
      </c>
      <c r="E54" s="68" t="s">
        <v>687</v>
      </c>
      <c r="F54" s="68" t="s">
        <v>443</v>
      </c>
      <c r="G54" s="68" t="s">
        <v>14</v>
      </c>
      <c r="H54" s="68" t="s">
        <v>642</v>
      </c>
      <c r="I54" s="68" t="s">
        <v>688</v>
      </c>
      <c r="J54" s="68" t="s">
        <v>644</v>
      </c>
      <c r="K54" s="68" t="s">
        <v>689</v>
      </c>
      <c r="L54" s="68" t="s">
        <v>690</v>
      </c>
      <c r="M54" s="68" t="s">
        <v>691</v>
      </c>
    </row>
    <row r="55" spans="1:13" ht="174" customHeight="1">
      <c r="A55" s="69">
        <v>52</v>
      </c>
      <c r="B55" s="70" t="s">
        <v>692</v>
      </c>
      <c r="C55" s="71" t="s">
        <v>693</v>
      </c>
      <c r="D55" s="71" t="s">
        <v>641</v>
      </c>
      <c r="E55" s="71" t="s">
        <v>44</v>
      </c>
      <c r="F55" s="71" t="s">
        <v>351</v>
      </c>
      <c r="G55" s="71" t="s">
        <v>14</v>
      </c>
      <c r="H55" s="71" t="s">
        <v>694</v>
      </c>
      <c r="I55" s="71" t="s">
        <v>695</v>
      </c>
      <c r="J55" s="71" t="s">
        <v>419</v>
      </c>
      <c r="K55" s="71" t="s">
        <v>696</v>
      </c>
      <c r="L55" s="71" t="s">
        <v>697</v>
      </c>
      <c r="M55" s="71" t="s">
        <v>698</v>
      </c>
    </row>
    <row r="56" spans="1:13" ht="174" customHeight="1">
      <c r="A56" s="69">
        <v>53</v>
      </c>
      <c r="B56" s="70" t="s">
        <v>699</v>
      </c>
      <c r="C56" s="71" t="s">
        <v>693</v>
      </c>
      <c r="D56" s="71" t="s">
        <v>641</v>
      </c>
      <c r="E56" s="71" t="s">
        <v>16</v>
      </c>
      <c r="F56" s="71" t="s">
        <v>351</v>
      </c>
      <c r="G56" s="71" t="s">
        <v>14</v>
      </c>
      <c r="H56" s="71" t="s">
        <v>700</v>
      </c>
      <c r="I56" s="71" t="s">
        <v>701</v>
      </c>
      <c r="J56" s="71" t="s">
        <v>702</v>
      </c>
      <c r="K56" s="71" t="s">
        <v>703</v>
      </c>
      <c r="L56" s="71" t="s">
        <v>704</v>
      </c>
      <c r="M56" s="71" t="s">
        <v>705</v>
      </c>
    </row>
    <row r="57" spans="1:13" ht="245.25" customHeight="1">
      <c r="A57" s="63">
        <v>54</v>
      </c>
      <c r="B57" s="64" t="s">
        <v>706</v>
      </c>
      <c r="C57" s="65" t="s">
        <v>417</v>
      </c>
      <c r="D57" s="65" t="s">
        <v>85</v>
      </c>
      <c r="E57" s="65" t="s">
        <v>23</v>
      </c>
      <c r="F57" s="65" t="s">
        <v>351</v>
      </c>
      <c r="G57" s="65">
        <v>0</v>
      </c>
      <c r="H57" s="65" t="s">
        <v>707</v>
      </c>
      <c r="I57" s="65" t="s">
        <v>708</v>
      </c>
      <c r="J57" s="65" t="s">
        <v>709</v>
      </c>
      <c r="K57" s="65" t="s">
        <v>710</v>
      </c>
      <c r="L57" s="65" t="s">
        <v>711</v>
      </c>
      <c r="M57" s="65" t="s">
        <v>712</v>
      </c>
    </row>
    <row r="58" spans="1:13" ht="174" customHeight="1">
      <c r="A58" s="60">
        <v>55</v>
      </c>
      <c r="B58" s="61" t="s">
        <v>713</v>
      </c>
      <c r="C58" s="62" t="s">
        <v>402</v>
      </c>
      <c r="D58" s="62" t="s">
        <v>85</v>
      </c>
      <c r="E58" s="62" t="s">
        <v>16</v>
      </c>
      <c r="F58" s="62" t="s">
        <v>351</v>
      </c>
      <c r="G58" s="62">
        <v>0.42</v>
      </c>
      <c r="H58" s="62" t="s">
        <v>714</v>
      </c>
      <c r="I58" s="62" t="s">
        <v>715</v>
      </c>
      <c r="J58" s="62" t="s">
        <v>716</v>
      </c>
      <c r="K58" s="62" t="s">
        <v>717</v>
      </c>
      <c r="L58" s="62" t="s">
        <v>718</v>
      </c>
      <c r="M58" s="62" t="s">
        <v>719</v>
      </c>
    </row>
    <row r="59" spans="1:13" ht="159" customHeight="1">
      <c r="A59" s="60">
        <v>56</v>
      </c>
      <c r="B59" s="61" t="s">
        <v>720</v>
      </c>
      <c r="C59" s="62" t="s">
        <v>402</v>
      </c>
      <c r="D59" s="62" t="s">
        <v>85</v>
      </c>
      <c r="E59" s="62" t="s">
        <v>51</v>
      </c>
      <c r="F59" s="62" t="s">
        <v>395</v>
      </c>
      <c r="G59" s="62">
        <v>0.129</v>
      </c>
      <c r="H59" s="62" t="s">
        <v>85</v>
      </c>
      <c r="I59" s="62" t="s">
        <v>721</v>
      </c>
      <c r="J59" s="62" t="s">
        <v>722</v>
      </c>
      <c r="K59" s="62" t="s">
        <v>723</v>
      </c>
      <c r="L59" s="62" t="s">
        <v>724</v>
      </c>
      <c r="M59" s="62" t="s">
        <v>725</v>
      </c>
    </row>
    <row r="60" spans="1:13" ht="188.25" customHeight="1">
      <c r="A60" s="63">
        <v>57</v>
      </c>
      <c r="B60" s="64" t="s">
        <v>726</v>
      </c>
      <c r="C60" s="65" t="s">
        <v>417</v>
      </c>
      <c r="D60" s="65" t="s">
        <v>85</v>
      </c>
      <c r="E60" s="65" t="s">
        <v>72</v>
      </c>
      <c r="F60" s="65" t="s">
        <v>395</v>
      </c>
      <c r="G60" s="65">
        <v>0</v>
      </c>
      <c r="H60" s="65" t="s">
        <v>727</v>
      </c>
      <c r="I60" s="65" t="s">
        <v>728</v>
      </c>
      <c r="J60" s="65" t="s">
        <v>729</v>
      </c>
      <c r="K60" s="65" t="s">
        <v>730</v>
      </c>
      <c r="L60" s="65" t="s">
        <v>731</v>
      </c>
      <c r="M60" s="65" t="s">
        <v>732</v>
      </c>
    </row>
    <row r="61" spans="1:13" ht="159" customHeight="1">
      <c r="A61" s="63">
        <v>58</v>
      </c>
      <c r="B61" s="64" t="s">
        <v>733</v>
      </c>
      <c r="C61" s="65" t="s">
        <v>417</v>
      </c>
      <c r="D61" s="65" t="s">
        <v>85</v>
      </c>
      <c r="E61" s="65" t="s">
        <v>8</v>
      </c>
      <c r="F61" s="65" t="s">
        <v>351</v>
      </c>
      <c r="G61" s="65">
        <v>0</v>
      </c>
      <c r="H61" s="65" t="s">
        <v>734</v>
      </c>
      <c r="I61" s="65" t="s">
        <v>735</v>
      </c>
      <c r="J61" s="65" t="s">
        <v>736</v>
      </c>
      <c r="K61" s="65" t="s">
        <v>737</v>
      </c>
      <c r="L61" s="65" t="s">
        <v>738</v>
      </c>
      <c r="M61" s="65" t="s">
        <v>739</v>
      </c>
    </row>
    <row r="62" spans="1:13" ht="174" customHeight="1">
      <c r="A62" s="63">
        <v>59</v>
      </c>
      <c r="B62" s="64" t="s">
        <v>740</v>
      </c>
      <c r="C62" s="65" t="s">
        <v>417</v>
      </c>
      <c r="D62" s="65" t="s">
        <v>85</v>
      </c>
      <c r="E62" s="65" t="s">
        <v>30</v>
      </c>
      <c r="F62" s="65" t="s">
        <v>351</v>
      </c>
      <c r="G62" s="65">
        <v>0</v>
      </c>
      <c r="H62" s="65" t="s">
        <v>741</v>
      </c>
      <c r="I62" s="65" t="s">
        <v>742</v>
      </c>
      <c r="J62" s="65" t="s">
        <v>743</v>
      </c>
      <c r="K62" s="65" t="s">
        <v>744</v>
      </c>
      <c r="L62" s="65" t="s">
        <v>745</v>
      </c>
      <c r="M62" s="65" t="s">
        <v>746</v>
      </c>
    </row>
    <row r="63" spans="1:13" ht="159" customHeight="1">
      <c r="A63" s="63">
        <v>60</v>
      </c>
      <c r="B63" s="64" t="s">
        <v>747</v>
      </c>
      <c r="C63" s="65" t="s">
        <v>417</v>
      </c>
      <c r="D63" s="65" t="s">
        <v>85</v>
      </c>
      <c r="E63" s="65" t="s">
        <v>134</v>
      </c>
      <c r="F63" s="65" t="s">
        <v>395</v>
      </c>
      <c r="G63" s="65">
        <v>0</v>
      </c>
      <c r="H63" s="65" t="s">
        <v>748</v>
      </c>
      <c r="I63" s="65" t="s">
        <v>749</v>
      </c>
      <c r="J63" s="65" t="s">
        <v>750</v>
      </c>
      <c r="K63" s="65" t="s">
        <v>751</v>
      </c>
      <c r="L63" s="65" t="s">
        <v>752</v>
      </c>
      <c r="M63" s="65" t="s">
        <v>753</v>
      </c>
    </row>
    <row r="64" spans="1:13" ht="174" customHeight="1">
      <c r="A64" s="63">
        <v>61</v>
      </c>
      <c r="B64" s="64" t="s">
        <v>754</v>
      </c>
      <c r="C64" s="65" t="s">
        <v>417</v>
      </c>
      <c r="D64" s="65" t="s">
        <v>85</v>
      </c>
      <c r="E64" s="65" t="s">
        <v>58</v>
      </c>
      <c r="F64" s="65" t="s">
        <v>351</v>
      </c>
      <c r="G64" s="65">
        <v>0</v>
      </c>
      <c r="H64" s="65" t="s">
        <v>755</v>
      </c>
      <c r="I64" s="65" t="s">
        <v>756</v>
      </c>
      <c r="J64" s="65" t="s">
        <v>757</v>
      </c>
      <c r="K64" s="65" t="s">
        <v>758</v>
      </c>
      <c r="L64" s="65" t="s">
        <v>759</v>
      </c>
      <c r="M64" s="65" t="s">
        <v>760</v>
      </c>
    </row>
    <row r="65" spans="1:13" ht="174" customHeight="1">
      <c r="A65" s="60">
        <v>62</v>
      </c>
      <c r="B65" s="61" t="s">
        <v>761</v>
      </c>
      <c r="C65" s="62" t="s">
        <v>402</v>
      </c>
      <c r="D65" s="62" t="s">
        <v>88</v>
      </c>
      <c r="E65" s="62" t="s">
        <v>44</v>
      </c>
      <c r="F65" s="62" t="s">
        <v>351</v>
      </c>
      <c r="G65" s="62">
        <v>0.10199999999999999</v>
      </c>
      <c r="H65" s="62" t="s">
        <v>762</v>
      </c>
      <c r="I65" s="62" t="s">
        <v>763</v>
      </c>
      <c r="J65" s="62" t="s">
        <v>764</v>
      </c>
      <c r="K65" s="62" t="s">
        <v>765</v>
      </c>
      <c r="L65" s="62" t="s">
        <v>766</v>
      </c>
      <c r="M65" s="62" t="s">
        <v>767</v>
      </c>
    </row>
    <row r="66" spans="1:13" ht="174" customHeight="1">
      <c r="A66" s="63">
        <v>63</v>
      </c>
      <c r="B66" s="64" t="s">
        <v>768</v>
      </c>
      <c r="C66" s="65" t="s">
        <v>417</v>
      </c>
      <c r="D66" s="65" t="s">
        <v>85</v>
      </c>
      <c r="E66" s="65" t="s">
        <v>131</v>
      </c>
      <c r="F66" s="65" t="s">
        <v>443</v>
      </c>
      <c r="G66" s="65">
        <v>0</v>
      </c>
      <c r="H66" s="65" t="s">
        <v>769</v>
      </c>
      <c r="I66" s="65" t="s">
        <v>770</v>
      </c>
      <c r="J66" s="65" t="s">
        <v>771</v>
      </c>
      <c r="K66" s="65" t="s">
        <v>772</v>
      </c>
      <c r="L66" s="65" t="s">
        <v>773</v>
      </c>
      <c r="M66" s="65" t="s">
        <v>774</v>
      </c>
    </row>
    <row r="67" spans="1:13" ht="201.75" customHeight="1">
      <c r="A67" s="60">
        <v>64</v>
      </c>
      <c r="B67" s="61" t="s">
        <v>775</v>
      </c>
      <c r="C67" s="62" t="s">
        <v>402</v>
      </c>
      <c r="D67" s="62" t="s">
        <v>85</v>
      </c>
      <c r="E67" s="62" t="s">
        <v>65</v>
      </c>
      <c r="F67" s="62" t="s">
        <v>395</v>
      </c>
      <c r="G67" s="62">
        <v>0.14399999999999999</v>
      </c>
      <c r="H67" s="62" t="s">
        <v>776</v>
      </c>
      <c r="I67" s="62" t="s">
        <v>777</v>
      </c>
      <c r="J67" s="62" t="s">
        <v>778</v>
      </c>
      <c r="K67" s="62" t="s">
        <v>779</v>
      </c>
      <c r="L67" s="62" t="s">
        <v>780</v>
      </c>
      <c r="M67" s="62" t="s">
        <v>781</v>
      </c>
    </row>
    <row r="68" spans="1:13" ht="159" customHeight="1">
      <c r="A68" s="63">
        <v>65</v>
      </c>
      <c r="B68" s="64" t="s">
        <v>782</v>
      </c>
      <c r="C68" s="65" t="s">
        <v>417</v>
      </c>
      <c r="D68" s="65" t="s">
        <v>85</v>
      </c>
      <c r="E68" s="65" t="s">
        <v>23</v>
      </c>
      <c r="F68" s="65" t="s">
        <v>351</v>
      </c>
      <c r="G68" s="65">
        <v>0</v>
      </c>
      <c r="H68" s="65" t="s">
        <v>783</v>
      </c>
      <c r="I68" s="65" t="s">
        <v>784</v>
      </c>
      <c r="J68" s="65" t="s">
        <v>785</v>
      </c>
      <c r="K68" s="65" t="s">
        <v>786</v>
      </c>
      <c r="L68" s="65" t="s">
        <v>787</v>
      </c>
      <c r="M68" s="65" t="s">
        <v>788</v>
      </c>
    </row>
    <row r="69" spans="1:13" ht="188.25" customHeight="1">
      <c r="A69" s="63">
        <v>66</v>
      </c>
      <c r="B69" s="64" t="s">
        <v>789</v>
      </c>
      <c r="C69" s="65" t="s">
        <v>417</v>
      </c>
      <c r="D69" s="65" t="s">
        <v>85</v>
      </c>
      <c r="E69" s="65" t="s">
        <v>16</v>
      </c>
      <c r="F69" s="65" t="s">
        <v>351</v>
      </c>
      <c r="G69" s="65">
        <v>0</v>
      </c>
      <c r="H69" s="65" t="s">
        <v>790</v>
      </c>
      <c r="I69" s="65" t="s">
        <v>791</v>
      </c>
      <c r="J69" s="65" t="s">
        <v>792</v>
      </c>
      <c r="K69" s="65" t="s">
        <v>793</v>
      </c>
      <c r="L69" s="65" t="s">
        <v>794</v>
      </c>
      <c r="M69" s="65" t="s">
        <v>795</v>
      </c>
    </row>
    <row r="70" spans="1:13" ht="159" customHeight="1">
      <c r="A70" s="63">
        <v>67</v>
      </c>
      <c r="B70" s="64" t="s">
        <v>796</v>
      </c>
      <c r="C70" s="65" t="s">
        <v>417</v>
      </c>
      <c r="D70" s="65" t="s">
        <v>85</v>
      </c>
      <c r="E70" s="65" t="s">
        <v>51</v>
      </c>
      <c r="F70" s="65" t="s">
        <v>395</v>
      </c>
      <c r="G70" s="65">
        <v>0</v>
      </c>
      <c r="H70" s="65" t="s">
        <v>797</v>
      </c>
      <c r="I70" s="65" t="s">
        <v>798</v>
      </c>
      <c r="J70" s="65" t="s">
        <v>799</v>
      </c>
      <c r="K70" s="65" t="s">
        <v>800</v>
      </c>
      <c r="L70" s="65" t="s">
        <v>801</v>
      </c>
      <c r="M70" s="65" t="s">
        <v>802</v>
      </c>
    </row>
    <row r="71" spans="1:13" ht="174" customHeight="1">
      <c r="A71" s="63">
        <v>68</v>
      </c>
      <c r="B71" s="64" t="s">
        <v>803</v>
      </c>
      <c r="C71" s="65" t="s">
        <v>417</v>
      </c>
      <c r="D71" s="65" t="s">
        <v>85</v>
      </c>
      <c r="E71" s="65" t="s">
        <v>72</v>
      </c>
      <c r="F71" s="65" t="s">
        <v>395</v>
      </c>
      <c r="G71" s="65">
        <v>0</v>
      </c>
      <c r="H71" s="65" t="s">
        <v>804</v>
      </c>
      <c r="I71" s="65" t="s">
        <v>805</v>
      </c>
      <c r="J71" s="65" t="s">
        <v>806</v>
      </c>
      <c r="K71" s="65" t="s">
        <v>807</v>
      </c>
      <c r="L71" s="65" t="s">
        <v>808</v>
      </c>
      <c r="M71" s="65" t="s">
        <v>809</v>
      </c>
    </row>
    <row r="72" spans="1:13" ht="174" customHeight="1">
      <c r="A72" s="63">
        <v>69</v>
      </c>
      <c r="B72" s="64" t="s">
        <v>810</v>
      </c>
      <c r="C72" s="65" t="s">
        <v>417</v>
      </c>
      <c r="D72" s="65" t="s">
        <v>85</v>
      </c>
      <c r="E72" s="65" t="s">
        <v>8</v>
      </c>
      <c r="F72" s="65" t="s">
        <v>351</v>
      </c>
      <c r="G72" s="65">
        <v>0</v>
      </c>
      <c r="H72" s="65" t="s">
        <v>811</v>
      </c>
      <c r="I72" s="65" t="s">
        <v>812</v>
      </c>
      <c r="J72" s="65" t="s">
        <v>813</v>
      </c>
      <c r="K72" s="65" t="s">
        <v>814</v>
      </c>
      <c r="L72" s="65" t="s">
        <v>815</v>
      </c>
      <c r="M72" s="65" t="s">
        <v>816</v>
      </c>
    </row>
    <row r="73" spans="1:13" ht="174" customHeight="1">
      <c r="A73" s="63">
        <v>70</v>
      </c>
      <c r="B73" s="64" t="s">
        <v>817</v>
      </c>
      <c r="C73" s="65" t="s">
        <v>417</v>
      </c>
      <c r="D73" s="65" t="s">
        <v>85</v>
      </c>
      <c r="E73" s="65" t="s">
        <v>30</v>
      </c>
      <c r="F73" s="65" t="s">
        <v>351</v>
      </c>
      <c r="G73" s="65">
        <v>0</v>
      </c>
      <c r="H73" s="65" t="s">
        <v>818</v>
      </c>
      <c r="I73" s="65" t="s">
        <v>819</v>
      </c>
      <c r="J73" s="65" t="s">
        <v>820</v>
      </c>
      <c r="K73" s="65" t="s">
        <v>821</v>
      </c>
      <c r="L73" s="65" t="s">
        <v>822</v>
      </c>
      <c r="M73" s="65" t="s">
        <v>823</v>
      </c>
    </row>
    <row r="74" spans="1:13" ht="174" customHeight="1">
      <c r="A74" s="63">
        <v>71</v>
      </c>
      <c r="B74" s="64" t="s">
        <v>824</v>
      </c>
      <c r="C74" s="65" t="s">
        <v>417</v>
      </c>
      <c r="D74" s="65" t="s">
        <v>85</v>
      </c>
      <c r="E74" s="65" t="s">
        <v>134</v>
      </c>
      <c r="F74" s="65" t="s">
        <v>395</v>
      </c>
      <c r="G74" s="65">
        <v>0</v>
      </c>
      <c r="H74" s="65" t="s">
        <v>825</v>
      </c>
      <c r="I74" s="65" t="s">
        <v>826</v>
      </c>
      <c r="J74" s="65" t="s">
        <v>827</v>
      </c>
      <c r="K74" s="65" t="s">
        <v>828</v>
      </c>
      <c r="L74" s="65" t="s">
        <v>829</v>
      </c>
      <c r="M74" s="65" t="s">
        <v>830</v>
      </c>
    </row>
    <row r="75" spans="1:13" ht="159" customHeight="1">
      <c r="A75" s="63">
        <v>72</v>
      </c>
      <c r="B75" s="64" t="s">
        <v>831</v>
      </c>
      <c r="C75" s="65" t="s">
        <v>417</v>
      </c>
      <c r="D75" s="65" t="s">
        <v>85</v>
      </c>
      <c r="E75" s="65" t="s">
        <v>58</v>
      </c>
      <c r="F75" s="65" t="s">
        <v>395</v>
      </c>
      <c r="G75" s="65">
        <v>0</v>
      </c>
      <c r="H75" s="65" t="s">
        <v>832</v>
      </c>
      <c r="I75" s="65" t="s">
        <v>833</v>
      </c>
      <c r="J75" s="65" t="s">
        <v>834</v>
      </c>
      <c r="K75" s="65" t="s">
        <v>835</v>
      </c>
      <c r="L75" s="65" t="s">
        <v>836</v>
      </c>
      <c r="M75" s="65" t="s">
        <v>837</v>
      </c>
    </row>
    <row r="76" spans="1:13" ht="174" customHeight="1">
      <c r="A76" s="63">
        <v>73</v>
      </c>
      <c r="B76" s="64" t="s">
        <v>838</v>
      </c>
      <c r="C76" s="65" t="s">
        <v>417</v>
      </c>
      <c r="D76" s="65" t="s">
        <v>85</v>
      </c>
      <c r="E76" s="65" t="s">
        <v>44</v>
      </c>
      <c r="F76" s="65" t="s">
        <v>395</v>
      </c>
      <c r="G76" s="65">
        <v>0</v>
      </c>
      <c r="H76" s="65" t="s">
        <v>839</v>
      </c>
      <c r="I76" s="65" t="s">
        <v>840</v>
      </c>
      <c r="J76" s="65" t="s">
        <v>841</v>
      </c>
      <c r="K76" s="65" t="s">
        <v>842</v>
      </c>
      <c r="L76" s="65" t="s">
        <v>843</v>
      </c>
      <c r="M76" s="65" t="s">
        <v>844</v>
      </c>
    </row>
    <row r="77" spans="1:13" ht="188.25" customHeight="1">
      <c r="A77" s="63">
        <v>74</v>
      </c>
      <c r="B77" s="64" t="s">
        <v>845</v>
      </c>
      <c r="C77" s="65" t="s">
        <v>417</v>
      </c>
      <c r="D77" s="65" t="s">
        <v>85</v>
      </c>
      <c r="E77" s="65" t="s">
        <v>131</v>
      </c>
      <c r="F77" s="65" t="s">
        <v>443</v>
      </c>
      <c r="G77" s="65">
        <v>0</v>
      </c>
      <c r="H77" s="65" t="s">
        <v>846</v>
      </c>
      <c r="I77" s="65" t="s">
        <v>847</v>
      </c>
      <c r="J77" s="65" t="s">
        <v>848</v>
      </c>
      <c r="K77" s="65" t="s">
        <v>849</v>
      </c>
      <c r="L77" s="65" t="s">
        <v>850</v>
      </c>
      <c r="M77" s="65" t="s">
        <v>851</v>
      </c>
    </row>
    <row r="78" spans="1:13" ht="174" customHeight="1">
      <c r="A78" s="63">
        <v>75</v>
      </c>
      <c r="B78" s="64" t="s">
        <v>852</v>
      </c>
      <c r="C78" s="65" t="s">
        <v>417</v>
      </c>
      <c r="D78" s="65" t="s">
        <v>85</v>
      </c>
      <c r="E78" s="65" t="s">
        <v>65</v>
      </c>
      <c r="F78" s="65" t="s">
        <v>395</v>
      </c>
      <c r="G78" s="65">
        <v>0</v>
      </c>
      <c r="H78" s="65" t="s">
        <v>853</v>
      </c>
      <c r="I78" s="65" t="s">
        <v>854</v>
      </c>
      <c r="J78" s="65" t="s">
        <v>855</v>
      </c>
      <c r="K78" s="65" t="s">
        <v>856</v>
      </c>
      <c r="L78" s="65" t="s">
        <v>857</v>
      </c>
      <c r="M78" s="65" t="s">
        <v>858</v>
      </c>
    </row>
    <row r="79" spans="1:13" ht="188.25" customHeight="1">
      <c r="A79" s="63">
        <v>76</v>
      </c>
      <c r="B79" s="64" t="s">
        <v>859</v>
      </c>
      <c r="C79" s="65" t="s">
        <v>417</v>
      </c>
      <c r="D79" s="65" t="s">
        <v>101</v>
      </c>
      <c r="E79" s="65" t="s">
        <v>23</v>
      </c>
      <c r="F79" s="65" t="s">
        <v>351</v>
      </c>
      <c r="G79" s="65">
        <v>0</v>
      </c>
      <c r="H79" s="65" t="s">
        <v>860</v>
      </c>
      <c r="I79" s="65" t="s">
        <v>861</v>
      </c>
      <c r="J79" s="65" t="s">
        <v>862</v>
      </c>
      <c r="K79" s="65" t="s">
        <v>863</v>
      </c>
      <c r="L79" s="65" t="s">
        <v>864</v>
      </c>
      <c r="M79" s="65" t="s">
        <v>865</v>
      </c>
    </row>
    <row r="80" spans="1:13" ht="174" customHeight="1">
      <c r="A80" s="63">
        <v>77</v>
      </c>
      <c r="B80" s="64" t="s">
        <v>866</v>
      </c>
      <c r="C80" s="65" t="s">
        <v>417</v>
      </c>
      <c r="D80" s="65" t="s">
        <v>101</v>
      </c>
      <c r="E80" s="65" t="s">
        <v>16</v>
      </c>
      <c r="F80" s="65" t="s">
        <v>351</v>
      </c>
      <c r="G80" s="65">
        <v>0</v>
      </c>
      <c r="H80" s="65" t="s">
        <v>867</v>
      </c>
      <c r="I80" s="65" t="s">
        <v>868</v>
      </c>
      <c r="J80" s="65" t="s">
        <v>869</v>
      </c>
      <c r="K80" s="65" t="s">
        <v>870</v>
      </c>
      <c r="L80" s="65" t="s">
        <v>871</v>
      </c>
      <c r="M80" s="65" t="s">
        <v>872</v>
      </c>
    </row>
    <row r="81" spans="1:13" ht="174" customHeight="1">
      <c r="A81" s="63">
        <v>78</v>
      </c>
      <c r="B81" s="64" t="s">
        <v>873</v>
      </c>
      <c r="C81" s="65" t="s">
        <v>417</v>
      </c>
      <c r="D81" s="65" t="s">
        <v>101</v>
      </c>
      <c r="E81" s="65" t="s">
        <v>51</v>
      </c>
      <c r="F81" s="65" t="s">
        <v>395</v>
      </c>
      <c r="G81" s="65">
        <v>0</v>
      </c>
      <c r="H81" s="65" t="s">
        <v>874</v>
      </c>
      <c r="I81" s="65" t="s">
        <v>875</v>
      </c>
      <c r="J81" s="65" t="s">
        <v>876</v>
      </c>
      <c r="K81" s="65" t="s">
        <v>877</v>
      </c>
      <c r="L81" s="65" t="s">
        <v>878</v>
      </c>
      <c r="M81" s="65" t="s">
        <v>879</v>
      </c>
    </row>
    <row r="82" spans="1:13" ht="159" customHeight="1">
      <c r="A82" s="63">
        <v>79</v>
      </c>
      <c r="B82" s="64" t="s">
        <v>880</v>
      </c>
      <c r="C82" s="65" t="s">
        <v>417</v>
      </c>
      <c r="D82" s="65" t="s">
        <v>101</v>
      </c>
      <c r="E82" s="65" t="s">
        <v>72</v>
      </c>
      <c r="F82" s="65" t="s">
        <v>395</v>
      </c>
      <c r="G82" s="65">
        <v>0</v>
      </c>
      <c r="H82" s="65" t="s">
        <v>881</v>
      </c>
      <c r="I82" s="65" t="s">
        <v>882</v>
      </c>
      <c r="J82" s="65" t="s">
        <v>883</v>
      </c>
      <c r="K82" s="65" t="s">
        <v>884</v>
      </c>
      <c r="L82" s="65" t="s">
        <v>885</v>
      </c>
      <c r="M82" s="65" t="s">
        <v>886</v>
      </c>
    </row>
    <row r="83" spans="1:13" ht="174" customHeight="1">
      <c r="A83" s="63">
        <v>80</v>
      </c>
      <c r="B83" s="64" t="s">
        <v>887</v>
      </c>
      <c r="C83" s="65" t="s">
        <v>417</v>
      </c>
      <c r="D83" s="65" t="s">
        <v>101</v>
      </c>
      <c r="E83" s="65" t="s">
        <v>8</v>
      </c>
      <c r="F83" s="65" t="s">
        <v>351</v>
      </c>
      <c r="G83" s="65">
        <v>0</v>
      </c>
      <c r="H83" s="65" t="s">
        <v>888</v>
      </c>
      <c r="I83" s="65" t="s">
        <v>889</v>
      </c>
      <c r="J83" s="65" t="s">
        <v>890</v>
      </c>
      <c r="K83" s="65" t="s">
        <v>891</v>
      </c>
      <c r="L83" s="65" t="s">
        <v>892</v>
      </c>
      <c r="M83" s="65" t="s">
        <v>893</v>
      </c>
    </row>
    <row r="84" spans="1:13" ht="174" customHeight="1">
      <c r="A84" s="60">
        <v>81</v>
      </c>
      <c r="B84" s="61" t="s">
        <v>894</v>
      </c>
      <c r="C84" s="62" t="s">
        <v>402</v>
      </c>
      <c r="D84" s="62" t="s">
        <v>101</v>
      </c>
      <c r="E84" s="62" t="s">
        <v>30</v>
      </c>
      <c r="F84" s="62" t="s">
        <v>351</v>
      </c>
      <c r="G84" s="62">
        <v>0.29399999999999998</v>
      </c>
      <c r="H84" s="62" t="s">
        <v>895</v>
      </c>
      <c r="I84" s="62" t="s">
        <v>896</v>
      </c>
      <c r="J84" s="62" t="s">
        <v>897</v>
      </c>
      <c r="K84" s="62" t="s">
        <v>898</v>
      </c>
      <c r="L84" s="62" t="s">
        <v>899</v>
      </c>
      <c r="M84" s="62" t="s">
        <v>900</v>
      </c>
    </row>
    <row r="85" spans="1:13" ht="174" customHeight="1">
      <c r="A85" s="63">
        <v>82</v>
      </c>
      <c r="B85" s="64" t="s">
        <v>901</v>
      </c>
      <c r="C85" s="65" t="s">
        <v>417</v>
      </c>
      <c r="D85" s="65" t="s">
        <v>101</v>
      </c>
      <c r="E85" s="65" t="s">
        <v>134</v>
      </c>
      <c r="F85" s="65" t="s">
        <v>395</v>
      </c>
      <c r="G85" s="65">
        <v>0</v>
      </c>
      <c r="H85" s="65" t="s">
        <v>902</v>
      </c>
      <c r="I85" s="65" t="s">
        <v>903</v>
      </c>
      <c r="J85" s="65" t="s">
        <v>904</v>
      </c>
      <c r="K85" s="65" t="s">
        <v>905</v>
      </c>
      <c r="L85" s="65" t="s">
        <v>906</v>
      </c>
      <c r="M85" s="65" t="s">
        <v>907</v>
      </c>
    </row>
    <row r="86" spans="1:13" ht="144.75" customHeight="1">
      <c r="A86" s="63">
        <v>83</v>
      </c>
      <c r="B86" s="64" t="s">
        <v>908</v>
      </c>
      <c r="C86" s="65" t="s">
        <v>417</v>
      </c>
      <c r="D86" s="65" t="s">
        <v>101</v>
      </c>
      <c r="E86" s="65" t="s">
        <v>58</v>
      </c>
      <c r="F86" s="65" t="s">
        <v>395</v>
      </c>
      <c r="G86" s="65">
        <v>0</v>
      </c>
      <c r="H86" s="65" t="s">
        <v>909</v>
      </c>
      <c r="I86" s="65" t="s">
        <v>910</v>
      </c>
      <c r="J86" s="65" t="s">
        <v>911</v>
      </c>
      <c r="K86" s="65" t="s">
        <v>912</v>
      </c>
      <c r="L86" s="65" t="s">
        <v>913</v>
      </c>
      <c r="M86" s="65" t="s">
        <v>914</v>
      </c>
    </row>
    <row r="87" spans="1:13" ht="201.75" customHeight="1">
      <c r="A87" s="63">
        <v>84</v>
      </c>
      <c r="B87" s="64" t="s">
        <v>915</v>
      </c>
      <c r="C87" s="65" t="s">
        <v>417</v>
      </c>
      <c r="D87" s="65" t="s">
        <v>101</v>
      </c>
      <c r="E87" s="65" t="s">
        <v>44</v>
      </c>
      <c r="F87" s="65" t="s">
        <v>443</v>
      </c>
      <c r="G87" s="65">
        <v>0</v>
      </c>
      <c r="H87" s="65" t="s">
        <v>916</v>
      </c>
      <c r="I87" s="65" t="s">
        <v>917</v>
      </c>
      <c r="J87" s="65" t="s">
        <v>918</v>
      </c>
      <c r="K87" s="65" t="s">
        <v>919</v>
      </c>
      <c r="L87" s="65" t="s">
        <v>920</v>
      </c>
      <c r="M87" s="65" t="s">
        <v>921</v>
      </c>
    </row>
    <row r="88" spans="1:13" ht="144.75" customHeight="1">
      <c r="A88" s="63">
        <v>85</v>
      </c>
      <c r="B88" s="64" t="s">
        <v>922</v>
      </c>
      <c r="C88" s="65" t="s">
        <v>417</v>
      </c>
      <c r="D88" s="65" t="s">
        <v>101</v>
      </c>
      <c r="E88" s="65" t="s">
        <v>131</v>
      </c>
      <c r="F88" s="65" t="s">
        <v>443</v>
      </c>
      <c r="G88" s="65">
        <v>0</v>
      </c>
      <c r="H88" s="65" t="s">
        <v>923</v>
      </c>
      <c r="I88" s="65" t="s">
        <v>924</v>
      </c>
      <c r="J88" s="65" t="s">
        <v>925</v>
      </c>
      <c r="K88" s="65" t="s">
        <v>926</v>
      </c>
      <c r="L88" s="65" t="s">
        <v>927</v>
      </c>
      <c r="M88" s="65" t="s">
        <v>928</v>
      </c>
    </row>
    <row r="89" spans="1:13" ht="144.75" customHeight="1">
      <c r="A89" s="63">
        <v>86</v>
      </c>
      <c r="B89" s="64" t="s">
        <v>929</v>
      </c>
      <c r="C89" s="65" t="s">
        <v>417</v>
      </c>
      <c r="D89" s="65" t="s">
        <v>101</v>
      </c>
      <c r="E89" s="65" t="s">
        <v>65</v>
      </c>
      <c r="F89" s="65" t="s">
        <v>395</v>
      </c>
      <c r="G89" s="65">
        <v>0</v>
      </c>
      <c r="H89" s="65" t="s">
        <v>930</v>
      </c>
      <c r="I89" s="65" t="s">
        <v>931</v>
      </c>
      <c r="J89" s="65" t="s">
        <v>932</v>
      </c>
      <c r="K89" s="65" t="s">
        <v>933</v>
      </c>
      <c r="L89" s="65" t="s">
        <v>934</v>
      </c>
      <c r="M89" s="65" t="s">
        <v>935</v>
      </c>
    </row>
    <row r="90" spans="1:13" ht="144.75" customHeight="1">
      <c r="A90" s="63">
        <v>87</v>
      </c>
      <c r="B90" s="64" t="s">
        <v>936</v>
      </c>
      <c r="C90" s="65" t="s">
        <v>417</v>
      </c>
      <c r="D90" s="65" t="s">
        <v>101</v>
      </c>
      <c r="E90" s="65" t="s">
        <v>23</v>
      </c>
      <c r="F90" s="65" t="s">
        <v>351</v>
      </c>
      <c r="G90" s="65">
        <v>0</v>
      </c>
      <c r="H90" s="65" t="s">
        <v>937</v>
      </c>
      <c r="I90" s="65" t="s">
        <v>938</v>
      </c>
      <c r="J90" s="65" t="s">
        <v>939</v>
      </c>
      <c r="K90" s="65" t="s">
        <v>940</v>
      </c>
      <c r="L90" s="65" t="s">
        <v>941</v>
      </c>
      <c r="M90" s="65" t="s">
        <v>942</v>
      </c>
    </row>
    <row r="91" spans="1:13" ht="144.75" customHeight="1">
      <c r="A91" s="63">
        <v>88</v>
      </c>
      <c r="B91" s="64" t="s">
        <v>943</v>
      </c>
      <c r="C91" s="65" t="s">
        <v>417</v>
      </c>
      <c r="D91" s="65" t="s">
        <v>101</v>
      </c>
      <c r="E91" s="65" t="s">
        <v>16</v>
      </c>
      <c r="F91" s="65" t="s">
        <v>351</v>
      </c>
      <c r="G91" s="65">
        <v>0</v>
      </c>
      <c r="H91" s="65" t="s">
        <v>944</v>
      </c>
      <c r="I91" s="65" t="s">
        <v>945</v>
      </c>
      <c r="J91" s="65" t="s">
        <v>946</v>
      </c>
      <c r="K91" s="65" t="s">
        <v>947</v>
      </c>
      <c r="L91" s="65" t="s">
        <v>948</v>
      </c>
      <c r="M91" s="65" t="s">
        <v>949</v>
      </c>
    </row>
    <row r="92" spans="1:13" ht="174" customHeight="1">
      <c r="A92" s="63">
        <v>89</v>
      </c>
      <c r="B92" s="64" t="s">
        <v>950</v>
      </c>
      <c r="C92" s="65" t="s">
        <v>417</v>
      </c>
      <c r="D92" s="65" t="s">
        <v>101</v>
      </c>
      <c r="E92" s="65" t="s">
        <v>51</v>
      </c>
      <c r="F92" s="65" t="s">
        <v>395</v>
      </c>
      <c r="G92" s="65">
        <v>0</v>
      </c>
      <c r="H92" s="65" t="s">
        <v>951</v>
      </c>
      <c r="I92" s="65" t="s">
        <v>952</v>
      </c>
      <c r="J92" s="65" t="s">
        <v>953</v>
      </c>
      <c r="K92" s="65" t="s">
        <v>954</v>
      </c>
      <c r="L92" s="65" t="s">
        <v>955</v>
      </c>
      <c r="M92" s="65" t="s">
        <v>956</v>
      </c>
    </row>
    <row r="93" spans="1:13" ht="159" customHeight="1">
      <c r="A93" s="63">
        <v>90</v>
      </c>
      <c r="B93" s="64" t="s">
        <v>957</v>
      </c>
      <c r="C93" s="65" t="s">
        <v>417</v>
      </c>
      <c r="D93" s="65" t="s">
        <v>101</v>
      </c>
      <c r="E93" s="65" t="s">
        <v>72</v>
      </c>
      <c r="F93" s="65" t="s">
        <v>395</v>
      </c>
      <c r="G93" s="65">
        <v>0</v>
      </c>
      <c r="H93" s="65" t="s">
        <v>958</v>
      </c>
      <c r="I93" s="65" t="s">
        <v>959</v>
      </c>
      <c r="J93" s="65" t="s">
        <v>960</v>
      </c>
      <c r="K93" s="65" t="s">
        <v>961</v>
      </c>
      <c r="L93" s="65" t="s">
        <v>962</v>
      </c>
      <c r="M93" s="65" t="s">
        <v>963</v>
      </c>
    </row>
    <row r="94" spans="1:13" ht="115.5" customHeight="1">
      <c r="A94" s="63">
        <v>91</v>
      </c>
      <c r="B94" s="64" t="s">
        <v>964</v>
      </c>
      <c r="C94" s="65" t="s">
        <v>417</v>
      </c>
      <c r="D94" s="65" t="s">
        <v>101</v>
      </c>
      <c r="E94" s="65" t="s">
        <v>8</v>
      </c>
      <c r="F94" s="65" t="s">
        <v>351</v>
      </c>
      <c r="G94" s="65">
        <v>0</v>
      </c>
      <c r="H94" s="65" t="s">
        <v>965</v>
      </c>
      <c r="I94" s="65" t="s">
        <v>966</v>
      </c>
      <c r="J94" s="65" t="s">
        <v>967</v>
      </c>
      <c r="K94" s="65" t="s">
        <v>968</v>
      </c>
      <c r="L94" s="65" t="s">
        <v>969</v>
      </c>
      <c r="M94" s="65" t="s">
        <v>970</v>
      </c>
    </row>
    <row r="95" spans="1:13" ht="144.75" customHeight="1">
      <c r="A95" s="63">
        <v>92</v>
      </c>
      <c r="B95" s="64" t="s">
        <v>971</v>
      </c>
      <c r="C95" s="65" t="s">
        <v>417</v>
      </c>
      <c r="D95" s="65" t="s">
        <v>101</v>
      </c>
      <c r="E95" s="65" t="s">
        <v>30</v>
      </c>
      <c r="F95" s="65" t="s">
        <v>351</v>
      </c>
      <c r="G95" s="65">
        <v>0</v>
      </c>
      <c r="H95" s="65" t="s">
        <v>972</v>
      </c>
      <c r="I95" s="65" t="s">
        <v>973</v>
      </c>
      <c r="J95" s="65" t="s">
        <v>974</v>
      </c>
      <c r="K95" s="65" t="s">
        <v>975</v>
      </c>
      <c r="L95" s="65" t="s">
        <v>976</v>
      </c>
      <c r="M95" s="65" t="s">
        <v>977</v>
      </c>
    </row>
    <row r="96" spans="1:13" ht="174" customHeight="1">
      <c r="A96" s="63">
        <v>93</v>
      </c>
      <c r="B96" s="64" t="s">
        <v>978</v>
      </c>
      <c r="C96" s="65" t="s">
        <v>417</v>
      </c>
      <c r="D96" s="65" t="s">
        <v>101</v>
      </c>
      <c r="E96" s="65" t="s">
        <v>134</v>
      </c>
      <c r="F96" s="65" t="s">
        <v>395</v>
      </c>
      <c r="G96" s="65">
        <v>0</v>
      </c>
      <c r="H96" s="65" t="s">
        <v>979</v>
      </c>
      <c r="I96" s="65" t="s">
        <v>980</v>
      </c>
      <c r="J96" s="65" t="s">
        <v>981</v>
      </c>
      <c r="K96" s="65" t="s">
        <v>982</v>
      </c>
      <c r="L96" s="65" t="s">
        <v>983</v>
      </c>
      <c r="M96" s="65" t="s">
        <v>984</v>
      </c>
    </row>
    <row r="97" spans="1:13" ht="144.75" customHeight="1">
      <c r="A97" s="63">
        <v>94</v>
      </c>
      <c r="B97" s="64" t="s">
        <v>985</v>
      </c>
      <c r="C97" s="65" t="s">
        <v>417</v>
      </c>
      <c r="D97" s="65" t="s">
        <v>101</v>
      </c>
      <c r="E97" s="65" t="s">
        <v>58</v>
      </c>
      <c r="F97" s="65" t="s">
        <v>443</v>
      </c>
      <c r="G97" s="65">
        <v>0</v>
      </c>
      <c r="H97" s="65" t="s">
        <v>986</v>
      </c>
      <c r="I97" s="65" t="s">
        <v>987</v>
      </c>
      <c r="J97" s="65" t="s">
        <v>988</v>
      </c>
      <c r="K97" s="65" t="s">
        <v>989</v>
      </c>
      <c r="L97" s="65" t="s">
        <v>990</v>
      </c>
      <c r="M97" s="65" t="s">
        <v>991</v>
      </c>
    </row>
    <row r="98" spans="1:13" ht="159" customHeight="1">
      <c r="A98" s="63">
        <v>95</v>
      </c>
      <c r="B98" s="64" t="s">
        <v>992</v>
      </c>
      <c r="C98" s="65" t="s">
        <v>417</v>
      </c>
      <c r="D98" s="65" t="s">
        <v>101</v>
      </c>
      <c r="E98" s="65" t="s">
        <v>44</v>
      </c>
      <c r="F98" s="65" t="s">
        <v>443</v>
      </c>
      <c r="G98" s="65">
        <v>0</v>
      </c>
      <c r="H98" s="65" t="s">
        <v>993</v>
      </c>
      <c r="I98" s="65" t="s">
        <v>994</v>
      </c>
      <c r="J98" s="65" t="s">
        <v>995</v>
      </c>
      <c r="K98" s="65" t="s">
        <v>996</v>
      </c>
      <c r="L98" s="65" t="s">
        <v>997</v>
      </c>
      <c r="M98" s="65" t="s">
        <v>998</v>
      </c>
    </row>
    <row r="99" spans="1:13" ht="144.75" customHeight="1">
      <c r="A99" s="63">
        <v>96</v>
      </c>
      <c r="B99" s="64" t="s">
        <v>999</v>
      </c>
      <c r="C99" s="65" t="s">
        <v>417</v>
      </c>
      <c r="D99" s="65" t="s">
        <v>101</v>
      </c>
      <c r="E99" s="65" t="s">
        <v>131</v>
      </c>
      <c r="F99" s="65" t="s">
        <v>443</v>
      </c>
      <c r="G99" s="65">
        <v>0</v>
      </c>
      <c r="H99" s="65" t="s">
        <v>1000</v>
      </c>
      <c r="I99" s="65" t="s">
        <v>1001</v>
      </c>
      <c r="J99" s="65" t="s">
        <v>1002</v>
      </c>
      <c r="K99" s="65" t="s">
        <v>1003</v>
      </c>
      <c r="L99" s="65" t="s">
        <v>1004</v>
      </c>
      <c r="M99" s="65" t="s">
        <v>1005</v>
      </c>
    </row>
    <row r="100" spans="1:13" ht="174" customHeight="1">
      <c r="A100" s="63">
        <v>97</v>
      </c>
      <c r="B100" s="64" t="s">
        <v>1006</v>
      </c>
      <c r="C100" s="65" t="s">
        <v>417</v>
      </c>
      <c r="D100" s="65" t="s">
        <v>101</v>
      </c>
      <c r="E100" s="65" t="s">
        <v>65</v>
      </c>
      <c r="F100" s="65" t="s">
        <v>395</v>
      </c>
      <c r="G100" s="65">
        <v>0</v>
      </c>
      <c r="H100" s="65" t="s">
        <v>1007</v>
      </c>
      <c r="I100" s="65" t="s">
        <v>1008</v>
      </c>
      <c r="J100" s="65" t="s">
        <v>1009</v>
      </c>
      <c r="K100" s="65" t="s">
        <v>1010</v>
      </c>
      <c r="L100" s="65" t="s">
        <v>1011</v>
      </c>
      <c r="M100" s="65" t="s">
        <v>1012</v>
      </c>
    </row>
    <row r="101" spans="1:13" ht="174" customHeight="1">
      <c r="A101" s="60">
        <v>98</v>
      </c>
      <c r="B101" s="61" t="s">
        <v>1013</v>
      </c>
      <c r="C101" s="62" t="s">
        <v>402</v>
      </c>
      <c r="D101" s="62" t="s">
        <v>106</v>
      </c>
      <c r="E101" s="62" t="s">
        <v>23</v>
      </c>
      <c r="F101" s="62" t="s">
        <v>351</v>
      </c>
      <c r="G101" s="62">
        <v>0.40799999999999997</v>
      </c>
      <c r="H101" s="62" t="s">
        <v>1014</v>
      </c>
      <c r="I101" s="62" t="s">
        <v>1015</v>
      </c>
      <c r="J101" s="62" t="s">
        <v>1016</v>
      </c>
      <c r="K101" s="62" t="s">
        <v>1017</v>
      </c>
      <c r="L101" s="62" t="s">
        <v>1018</v>
      </c>
      <c r="M101" s="62" t="s">
        <v>1019</v>
      </c>
    </row>
    <row r="102" spans="1:13" ht="188.25" customHeight="1">
      <c r="A102" s="63">
        <v>99</v>
      </c>
      <c r="B102" s="64" t="s">
        <v>1020</v>
      </c>
      <c r="C102" s="65" t="s">
        <v>417</v>
      </c>
      <c r="D102" s="65" t="s">
        <v>106</v>
      </c>
      <c r="E102" s="65" t="s">
        <v>16</v>
      </c>
      <c r="F102" s="65" t="s">
        <v>351</v>
      </c>
      <c r="G102" s="65">
        <v>0</v>
      </c>
      <c r="H102" s="65" t="s">
        <v>1021</v>
      </c>
      <c r="I102" s="65" t="s">
        <v>1022</v>
      </c>
      <c r="J102" s="65" t="s">
        <v>1023</v>
      </c>
      <c r="K102" s="65" t="s">
        <v>1024</v>
      </c>
      <c r="L102" s="65" t="s">
        <v>1025</v>
      </c>
      <c r="M102" s="65" t="s">
        <v>1026</v>
      </c>
    </row>
    <row r="103" spans="1:13" ht="159" customHeight="1">
      <c r="A103" s="63">
        <v>100</v>
      </c>
      <c r="B103" s="64" t="s">
        <v>1027</v>
      </c>
      <c r="C103" s="65" t="s">
        <v>417</v>
      </c>
      <c r="D103" s="65" t="s">
        <v>106</v>
      </c>
      <c r="E103" s="65" t="s">
        <v>51</v>
      </c>
      <c r="F103" s="65" t="s">
        <v>395</v>
      </c>
      <c r="G103" s="65">
        <v>0</v>
      </c>
      <c r="H103" s="65" t="s">
        <v>1028</v>
      </c>
      <c r="I103" s="65" t="s">
        <v>1029</v>
      </c>
      <c r="J103" s="65" t="s">
        <v>1030</v>
      </c>
      <c r="K103" s="65" t="s">
        <v>1031</v>
      </c>
      <c r="L103" s="65" t="s">
        <v>1032</v>
      </c>
      <c r="M103" s="65" t="s">
        <v>1033</v>
      </c>
    </row>
    <row r="104" spans="1:13" ht="159" customHeight="1">
      <c r="A104" s="63">
        <v>101</v>
      </c>
      <c r="B104" s="64" t="s">
        <v>1034</v>
      </c>
      <c r="C104" s="65" t="s">
        <v>417</v>
      </c>
      <c r="D104" s="65" t="s">
        <v>106</v>
      </c>
      <c r="E104" s="65" t="s">
        <v>72</v>
      </c>
      <c r="F104" s="65" t="s">
        <v>351</v>
      </c>
      <c r="G104" s="65">
        <v>0</v>
      </c>
      <c r="H104" s="65" t="s">
        <v>1035</v>
      </c>
      <c r="I104" s="65" t="s">
        <v>1036</v>
      </c>
      <c r="J104" s="65" t="s">
        <v>1037</v>
      </c>
      <c r="K104" s="65" t="s">
        <v>1038</v>
      </c>
      <c r="L104" s="65" t="s">
        <v>1039</v>
      </c>
      <c r="M104" s="65" t="s">
        <v>1040</v>
      </c>
    </row>
    <row r="105" spans="1:13" ht="188.25" customHeight="1">
      <c r="A105" s="63">
        <v>102</v>
      </c>
      <c r="B105" s="64" t="s">
        <v>1041</v>
      </c>
      <c r="C105" s="65" t="s">
        <v>417</v>
      </c>
      <c r="D105" s="65" t="s">
        <v>106</v>
      </c>
      <c r="E105" s="65" t="s">
        <v>8</v>
      </c>
      <c r="F105" s="65" t="s">
        <v>395</v>
      </c>
      <c r="G105" s="65">
        <v>0</v>
      </c>
      <c r="H105" s="65" t="s">
        <v>1042</v>
      </c>
      <c r="I105" s="65" t="s">
        <v>1043</v>
      </c>
      <c r="J105" s="65" t="s">
        <v>1044</v>
      </c>
      <c r="K105" s="65" t="s">
        <v>1045</v>
      </c>
      <c r="L105" s="65" t="s">
        <v>1046</v>
      </c>
      <c r="M105" s="65" t="s">
        <v>1047</v>
      </c>
    </row>
    <row r="106" spans="1:13" ht="159" customHeight="1">
      <c r="A106" s="60">
        <v>103</v>
      </c>
      <c r="B106" s="61" t="s">
        <v>1048</v>
      </c>
      <c r="C106" s="62" t="s">
        <v>402</v>
      </c>
      <c r="D106" s="62" t="s">
        <v>106</v>
      </c>
      <c r="E106" s="62" t="s">
        <v>30</v>
      </c>
      <c r="F106" s="62" t="s">
        <v>351</v>
      </c>
      <c r="G106" s="62">
        <v>0.29399999999999998</v>
      </c>
      <c r="H106" s="62" t="s">
        <v>1049</v>
      </c>
      <c r="I106" s="62" t="s">
        <v>1050</v>
      </c>
      <c r="J106" s="62" t="s">
        <v>1051</v>
      </c>
      <c r="K106" s="62" t="s">
        <v>1052</v>
      </c>
      <c r="L106" s="62" t="s">
        <v>1053</v>
      </c>
      <c r="M106" s="62" t="s">
        <v>1054</v>
      </c>
    </row>
    <row r="107" spans="1:13" ht="159" customHeight="1">
      <c r="A107" s="63">
        <v>104</v>
      </c>
      <c r="B107" s="64" t="s">
        <v>1055</v>
      </c>
      <c r="C107" s="65" t="s">
        <v>417</v>
      </c>
      <c r="D107" s="65" t="s">
        <v>106</v>
      </c>
      <c r="E107" s="65" t="s">
        <v>134</v>
      </c>
      <c r="F107" s="65" t="s">
        <v>395</v>
      </c>
      <c r="G107" s="65">
        <v>0</v>
      </c>
      <c r="H107" s="65" t="s">
        <v>1056</v>
      </c>
      <c r="I107" s="65" t="s">
        <v>1057</v>
      </c>
      <c r="J107" s="65" t="s">
        <v>1058</v>
      </c>
      <c r="K107" s="65" t="s">
        <v>1059</v>
      </c>
      <c r="L107" s="65" t="s">
        <v>1060</v>
      </c>
      <c r="M107" s="65" t="s">
        <v>1061</v>
      </c>
    </row>
    <row r="108" spans="1:13" ht="144.75" customHeight="1">
      <c r="A108" s="60">
        <v>105</v>
      </c>
      <c r="B108" s="61" t="s">
        <v>1062</v>
      </c>
      <c r="C108" s="62" t="s">
        <v>402</v>
      </c>
      <c r="D108" s="62" t="s">
        <v>106</v>
      </c>
      <c r="E108" s="62" t="s">
        <v>58</v>
      </c>
      <c r="F108" s="62" t="s">
        <v>351</v>
      </c>
      <c r="G108" s="62">
        <v>0.29399999999999998</v>
      </c>
      <c r="H108" s="62" t="s">
        <v>557</v>
      </c>
      <c r="I108" s="62" t="s">
        <v>1063</v>
      </c>
      <c r="J108" s="62" t="s">
        <v>1064</v>
      </c>
      <c r="K108" s="62" t="s">
        <v>1065</v>
      </c>
      <c r="L108" s="62" t="s">
        <v>1066</v>
      </c>
      <c r="M108" s="62" t="s">
        <v>1067</v>
      </c>
    </row>
    <row r="109" spans="1:13" ht="144.75" customHeight="1">
      <c r="A109" s="63">
        <v>106</v>
      </c>
      <c r="B109" s="64" t="s">
        <v>1068</v>
      </c>
      <c r="C109" s="65" t="s">
        <v>417</v>
      </c>
      <c r="D109" s="65" t="s">
        <v>106</v>
      </c>
      <c r="E109" s="65" t="s">
        <v>44</v>
      </c>
      <c r="F109" s="65" t="s">
        <v>395</v>
      </c>
      <c r="G109" s="65">
        <v>0</v>
      </c>
      <c r="H109" s="65" t="s">
        <v>1069</v>
      </c>
      <c r="I109" s="65" t="s">
        <v>1070</v>
      </c>
      <c r="J109" s="65" t="s">
        <v>1071</v>
      </c>
      <c r="K109" s="65" t="s">
        <v>1072</v>
      </c>
      <c r="L109" s="65" t="s">
        <v>1073</v>
      </c>
      <c r="M109" s="65" t="s">
        <v>1074</v>
      </c>
    </row>
    <row r="110" spans="1:13" ht="159" customHeight="1">
      <c r="A110" s="63">
        <v>107</v>
      </c>
      <c r="B110" s="64" t="s">
        <v>1075</v>
      </c>
      <c r="C110" s="65" t="s">
        <v>417</v>
      </c>
      <c r="D110" s="65" t="s">
        <v>106</v>
      </c>
      <c r="E110" s="65" t="s">
        <v>131</v>
      </c>
      <c r="F110" s="65" t="s">
        <v>443</v>
      </c>
      <c r="G110" s="65">
        <v>0</v>
      </c>
      <c r="H110" s="65" t="s">
        <v>1076</v>
      </c>
      <c r="I110" s="65" t="s">
        <v>1077</v>
      </c>
      <c r="J110" s="65" t="s">
        <v>1078</v>
      </c>
      <c r="K110" s="65" t="s">
        <v>1079</v>
      </c>
      <c r="L110" s="65" t="s">
        <v>1080</v>
      </c>
      <c r="M110" s="65" t="s">
        <v>1081</v>
      </c>
    </row>
    <row r="111" spans="1:13" ht="159" customHeight="1">
      <c r="A111" s="63">
        <v>108</v>
      </c>
      <c r="B111" s="64" t="s">
        <v>1082</v>
      </c>
      <c r="C111" s="65" t="s">
        <v>417</v>
      </c>
      <c r="D111" s="65" t="s">
        <v>106</v>
      </c>
      <c r="E111" s="65" t="s">
        <v>65</v>
      </c>
      <c r="F111" s="65" t="s">
        <v>395</v>
      </c>
      <c r="G111" s="65">
        <v>0</v>
      </c>
      <c r="H111" s="65" t="s">
        <v>1083</v>
      </c>
      <c r="I111" s="65" t="s">
        <v>1084</v>
      </c>
      <c r="J111" s="65" t="s">
        <v>1085</v>
      </c>
      <c r="K111" s="65" t="s">
        <v>1086</v>
      </c>
      <c r="L111" s="65" t="s">
        <v>1087</v>
      </c>
      <c r="M111" s="65" t="s">
        <v>1088</v>
      </c>
    </row>
    <row r="112" spans="1:13" ht="130.5" customHeight="1">
      <c r="A112" s="63">
        <v>109</v>
      </c>
      <c r="B112" s="64" t="s">
        <v>1089</v>
      </c>
      <c r="C112" s="65" t="s">
        <v>417</v>
      </c>
      <c r="D112" s="65" t="s">
        <v>106</v>
      </c>
      <c r="E112" s="65" t="s">
        <v>23</v>
      </c>
      <c r="F112" s="65" t="s">
        <v>351</v>
      </c>
      <c r="G112" s="65">
        <v>0</v>
      </c>
      <c r="H112" s="65" t="s">
        <v>1090</v>
      </c>
      <c r="I112" s="65" t="s">
        <v>1091</v>
      </c>
      <c r="J112" s="65" t="s">
        <v>1092</v>
      </c>
      <c r="K112" s="65" t="s">
        <v>1093</v>
      </c>
      <c r="L112" s="65" t="s">
        <v>1094</v>
      </c>
      <c r="M112" s="65" t="s">
        <v>1095</v>
      </c>
    </row>
    <row r="113" spans="1:13" ht="159" customHeight="1">
      <c r="A113" s="63">
        <v>110</v>
      </c>
      <c r="B113" s="64" t="s">
        <v>1096</v>
      </c>
      <c r="C113" s="65" t="s">
        <v>417</v>
      </c>
      <c r="D113" s="65" t="s">
        <v>106</v>
      </c>
      <c r="E113" s="65" t="s">
        <v>16</v>
      </c>
      <c r="F113" s="65" t="s">
        <v>351</v>
      </c>
      <c r="G113" s="65">
        <v>0</v>
      </c>
      <c r="H113" s="65" t="s">
        <v>1097</v>
      </c>
      <c r="I113" s="65" t="s">
        <v>1098</v>
      </c>
      <c r="J113" s="65" t="s">
        <v>1099</v>
      </c>
      <c r="K113" s="65" t="s">
        <v>1100</v>
      </c>
      <c r="L113" s="65" t="s">
        <v>1101</v>
      </c>
      <c r="M113" s="65" t="s">
        <v>1102</v>
      </c>
    </row>
    <row r="114" spans="1:13" ht="159" customHeight="1">
      <c r="A114" s="63">
        <v>111</v>
      </c>
      <c r="B114" s="64" t="s">
        <v>1103</v>
      </c>
      <c r="C114" s="65" t="s">
        <v>417</v>
      </c>
      <c r="D114" s="65" t="s">
        <v>106</v>
      </c>
      <c r="E114" s="65" t="s">
        <v>51</v>
      </c>
      <c r="F114" s="65" t="s">
        <v>395</v>
      </c>
      <c r="G114" s="65">
        <v>0</v>
      </c>
      <c r="H114" s="65" t="s">
        <v>1104</v>
      </c>
      <c r="I114" s="65" t="s">
        <v>1105</v>
      </c>
      <c r="J114" s="65" t="s">
        <v>1106</v>
      </c>
      <c r="K114" s="65" t="s">
        <v>1107</v>
      </c>
      <c r="L114" s="65" t="s">
        <v>1108</v>
      </c>
      <c r="M114" s="65" t="s">
        <v>1109</v>
      </c>
    </row>
    <row r="115" spans="1:13" ht="144.75" customHeight="1">
      <c r="A115" s="63">
        <v>112</v>
      </c>
      <c r="B115" s="64" t="s">
        <v>1110</v>
      </c>
      <c r="C115" s="65" t="s">
        <v>417</v>
      </c>
      <c r="D115" s="65" t="s">
        <v>106</v>
      </c>
      <c r="E115" s="65" t="s">
        <v>72</v>
      </c>
      <c r="F115" s="65" t="s">
        <v>395</v>
      </c>
      <c r="G115" s="65">
        <v>0</v>
      </c>
      <c r="H115" s="65" t="s">
        <v>1111</v>
      </c>
      <c r="I115" s="65" t="s">
        <v>1112</v>
      </c>
      <c r="J115" s="65" t="s">
        <v>1113</v>
      </c>
      <c r="K115" s="65" t="s">
        <v>1114</v>
      </c>
      <c r="L115" s="65" t="s">
        <v>1115</v>
      </c>
      <c r="M115" s="65" t="s">
        <v>1116</v>
      </c>
    </row>
    <row r="116" spans="1:13" ht="159" customHeight="1">
      <c r="A116" s="60">
        <v>113</v>
      </c>
      <c r="B116" s="61" t="s">
        <v>1117</v>
      </c>
      <c r="C116" s="62" t="s">
        <v>402</v>
      </c>
      <c r="D116" s="62" t="s">
        <v>106</v>
      </c>
      <c r="E116" s="62" t="s">
        <v>8</v>
      </c>
      <c r="F116" s="62" t="s">
        <v>351</v>
      </c>
      <c r="G116" s="62">
        <v>0.375</v>
      </c>
      <c r="H116" s="62" t="s">
        <v>1118</v>
      </c>
      <c r="I116" s="62" t="s">
        <v>1119</v>
      </c>
      <c r="J116" s="62" t="s">
        <v>1120</v>
      </c>
      <c r="K116" s="62" t="s">
        <v>1121</v>
      </c>
      <c r="L116" s="62" t="s">
        <v>1122</v>
      </c>
      <c r="M116" s="62" t="s">
        <v>1123</v>
      </c>
    </row>
    <row r="117" spans="1:13" ht="144.75" customHeight="1">
      <c r="A117" s="63">
        <v>114</v>
      </c>
      <c r="B117" s="64" t="s">
        <v>1124</v>
      </c>
      <c r="C117" s="65" t="s">
        <v>417</v>
      </c>
      <c r="D117" s="65" t="s">
        <v>106</v>
      </c>
      <c r="E117" s="65" t="s">
        <v>30</v>
      </c>
      <c r="F117" s="65" t="s">
        <v>351</v>
      </c>
      <c r="G117" s="65">
        <v>0</v>
      </c>
      <c r="H117" s="65" t="s">
        <v>1125</v>
      </c>
      <c r="I117" s="65" t="s">
        <v>1126</v>
      </c>
      <c r="J117" s="65" t="s">
        <v>1127</v>
      </c>
      <c r="K117" s="65" t="s">
        <v>1128</v>
      </c>
      <c r="L117" s="65" t="s">
        <v>1129</v>
      </c>
      <c r="M117" s="65" t="s">
        <v>1130</v>
      </c>
    </row>
    <row r="118" spans="1:13" ht="144.75" customHeight="1">
      <c r="A118" s="63">
        <v>115</v>
      </c>
      <c r="B118" s="64" t="s">
        <v>1131</v>
      </c>
      <c r="C118" s="65" t="s">
        <v>417</v>
      </c>
      <c r="D118" s="65" t="s">
        <v>106</v>
      </c>
      <c r="E118" s="65" t="s">
        <v>134</v>
      </c>
      <c r="F118" s="65" t="s">
        <v>443</v>
      </c>
      <c r="G118" s="65">
        <v>0</v>
      </c>
      <c r="H118" s="65" t="s">
        <v>1132</v>
      </c>
      <c r="I118" s="65" t="s">
        <v>1133</v>
      </c>
      <c r="J118" s="65" t="s">
        <v>1134</v>
      </c>
      <c r="K118" s="65" t="s">
        <v>1135</v>
      </c>
      <c r="L118" s="65" t="s">
        <v>1136</v>
      </c>
      <c r="M118" s="65" t="s">
        <v>1137</v>
      </c>
    </row>
    <row r="119" spans="1:13" ht="174" customHeight="1">
      <c r="A119" s="63">
        <v>116</v>
      </c>
      <c r="B119" s="64" t="s">
        <v>563</v>
      </c>
      <c r="C119" s="65" t="s">
        <v>417</v>
      </c>
      <c r="D119" s="65" t="s">
        <v>106</v>
      </c>
      <c r="E119" s="65" t="s">
        <v>58</v>
      </c>
      <c r="F119" s="65" t="s">
        <v>395</v>
      </c>
      <c r="G119" s="65">
        <v>0</v>
      </c>
      <c r="H119" s="65" t="s">
        <v>1138</v>
      </c>
      <c r="I119" s="65" t="s">
        <v>1139</v>
      </c>
      <c r="J119" s="65" t="s">
        <v>1140</v>
      </c>
      <c r="K119" s="65" t="s">
        <v>1141</v>
      </c>
      <c r="L119" s="65" t="s">
        <v>1142</v>
      </c>
      <c r="M119" s="65" t="s">
        <v>1143</v>
      </c>
    </row>
    <row r="120" spans="1:13" ht="144.75" customHeight="1">
      <c r="A120" s="63">
        <v>117</v>
      </c>
      <c r="B120" s="64" t="s">
        <v>1144</v>
      </c>
      <c r="C120" s="65" t="s">
        <v>417</v>
      </c>
      <c r="D120" s="65" t="s">
        <v>106</v>
      </c>
      <c r="E120" s="65" t="s">
        <v>44</v>
      </c>
      <c r="F120" s="65" t="s">
        <v>443</v>
      </c>
      <c r="G120" s="65">
        <v>0</v>
      </c>
      <c r="H120" s="65" t="s">
        <v>1145</v>
      </c>
      <c r="I120" s="65" t="s">
        <v>1146</v>
      </c>
      <c r="J120" s="65" t="s">
        <v>1147</v>
      </c>
      <c r="K120" s="65" t="s">
        <v>1148</v>
      </c>
      <c r="L120" s="65" t="s">
        <v>1149</v>
      </c>
      <c r="M120" s="65" t="s">
        <v>1150</v>
      </c>
    </row>
    <row r="121" spans="1:13" ht="159" customHeight="1">
      <c r="A121" s="63">
        <v>118</v>
      </c>
      <c r="B121" s="64" t="s">
        <v>1151</v>
      </c>
      <c r="C121" s="65" t="s">
        <v>417</v>
      </c>
      <c r="D121" s="65" t="s">
        <v>106</v>
      </c>
      <c r="E121" s="65" t="s">
        <v>131</v>
      </c>
      <c r="F121" s="65" t="s">
        <v>443</v>
      </c>
      <c r="G121" s="65">
        <v>0</v>
      </c>
      <c r="H121" s="65" t="s">
        <v>1152</v>
      </c>
      <c r="I121" s="65" t="s">
        <v>1153</v>
      </c>
      <c r="J121" s="65" t="s">
        <v>1154</v>
      </c>
      <c r="K121" s="65" t="s">
        <v>1155</v>
      </c>
      <c r="L121" s="65" t="s">
        <v>1156</v>
      </c>
      <c r="M121" s="65" t="s">
        <v>1157</v>
      </c>
    </row>
    <row r="122" spans="1:13" ht="159" customHeight="1">
      <c r="A122" s="63">
        <v>119</v>
      </c>
      <c r="B122" s="64" t="s">
        <v>1158</v>
      </c>
      <c r="C122" s="65" t="s">
        <v>417</v>
      </c>
      <c r="D122" s="65" t="s">
        <v>106</v>
      </c>
      <c r="E122" s="65" t="s">
        <v>65</v>
      </c>
      <c r="F122" s="65" t="s">
        <v>395</v>
      </c>
      <c r="G122" s="65">
        <v>0</v>
      </c>
      <c r="H122" s="65" t="s">
        <v>1159</v>
      </c>
      <c r="I122" s="65" t="s">
        <v>1160</v>
      </c>
      <c r="J122" s="65" t="s">
        <v>1161</v>
      </c>
      <c r="K122" s="65" t="s">
        <v>1162</v>
      </c>
      <c r="L122" s="65" t="s">
        <v>1163</v>
      </c>
      <c r="M122" s="65" t="s">
        <v>1164</v>
      </c>
    </row>
    <row r="123" spans="1:13" ht="188.25" customHeight="1">
      <c r="A123" s="63">
        <v>120</v>
      </c>
      <c r="B123" s="64" t="s">
        <v>1165</v>
      </c>
      <c r="C123" s="65" t="s">
        <v>417</v>
      </c>
      <c r="D123" s="65" t="s">
        <v>88</v>
      </c>
      <c r="E123" s="65" t="s">
        <v>23</v>
      </c>
      <c r="F123" s="65" t="s">
        <v>351</v>
      </c>
      <c r="G123" s="65">
        <v>0</v>
      </c>
      <c r="H123" s="65" t="s">
        <v>1166</v>
      </c>
      <c r="I123" s="65" t="s">
        <v>1167</v>
      </c>
      <c r="J123" s="65" t="s">
        <v>1168</v>
      </c>
      <c r="K123" s="65" t="s">
        <v>1169</v>
      </c>
      <c r="L123" s="65" t="s">
        <v>1170</v>
      </c>
      <c r="M123" s="65" t="s">
        <v>1171</v>
      </c>
    </row>
    <row r="124" spans="1:13" ht="188.25" customHeight="1">
      <c r="A124" s="60">
        <v>121</v>
      </c>
      <c r="B124" s="61" t="s">
        <v>1172</v>
      </c>
      <c r="C124" s="62" t="s">
        <v>402</v>
      </c>
      <c r="D124" s="62" t="s">
        <v>88</v>
      </c>
      <c r="E124" s="62" t="s">
        <v>16</v>
      </c>
      <c r="F124" s="62" t="s">
        <v>351</v>
      </c>
      <c r="G124" s="62">
        <v>0.42</v>
      </c>
      <c r="H124" s="62" t="s">
        <v>1173</v>
      </c>
      <c r="I124" s="62" t="s">
        <v>1174</v>
      </c>
      <c r="J124" s="62" t="s">
        <v>1175</v>
      </c>
      <c r="K124" s="62" t="s">
        <v>1176</v>
      </c>
      <c r="L124" s="62" t="s">
        <v>1177</v>
      </c>
      <c r="M124" s="62" t="s">
        <v>1178</v>
      </c>
    </row>
    <row r="125" spans="1:13" ht="159" customHeight="1">
      <c r="A125" s="63">
        <v>122</v>
      </c>
      <c r="B125" s="64" t="s">
        <v>1179</v>
      </c>
      <c r="C125" s="65" t="s">
        <v>417</v>
      </c>
      <c r="D125" s="65" t="s">
        <v>88</v>
      </c>
      <c r="E125" s="65" t="s">
        <v>51</v>
      </c>
      <c r="F125" s="65" t="s">
        <v>395</v>
      </c>
      <c r="G125" s="65">
        <v>0</v>
      </c>
      <c r="H125" s="65" t="s">
        <v>1180</v>
      </c>
      <c r="I125" s="65" t="s">
        <v>1181</v>
      </c>
      <c r="J125" s="65" t="s">
        <v>1182</v>
      </c>
      <c r="K125" s="65" t="s">
        <v>1183</v>
      </c>
      <c r="L125" s="65" t="s">
        <v>1184</v>
      </c>
      <c r="M125" s="65" t="s">
        <v>1185</v>
      </c>
    </row>
    <row r="126" spans="1:13" ht="174" customHeight="1">
      <c r="A126" s="63">
        <v>123</v>
      </c>
      <c r="B126" s="64" t="s">
        <v>1186</v>
      </c>
      <c r="C126" s="65" t="s">
        <v>417</v>
      </c>
      <c r="D126" s="65" t="s">
        <v>88</v>
      </c>
      <c r="E126" s="65" t="s">
        <v>72</v>
      </c>
      <c r="F126" s="65" t="s">
        <v>395</v>
      </c>
      <c r="G126" s="65">
        <v>0</v>
      </c>
      <c r="H126" s="65" t="s">
        <v>1187</v>
      </c>
      <c r="I126" s="65" t="s">
        <v>1188</v>
      </c>
      <c r="J126" s="65" t="s">
        <v>1189</v>
      </c>
      <c r="K126" s="65" t="s">
        <v>1190</v>
      </c>
      <c r="L126" s="65" t="s">
        <v>1191</v>
      </c>
      <c r="M126" s="65" t="s">
        <v>1192</v>
      </c>
    </row>
    <row r="127" spans="1:13" ht="159" customHeight="1">
      <c r="A127" s="60">
        <v>124</v>
      </c>
      <c r="B127" s="61" t="s">
        <v>1193</v>
      </c>
      <c r="C127" s="62" t="s">
        <v>402</v>
      </c>
      <c r="D127" s="62" t="s">
        <v>88</v>
      </c>
      <c r="E127" s="62" t="s">
        <v>8</v>
      </c>
      <c r="F127" s="62" t="s">
        <v>351</v>
      </c>
      <c r="G127" s="62">
        <v>0.375</v>
      </c>
      <c r="H127" s="62" t="s">
        <v>1194</v>
      </c>
      <c r="I127" s="62" t="s">
        <v>1195</v>
      </c>
      <c r="J127" s="62" t="s">
        <v>1196</v>
      </c>
      <c r="K127" s="62" t="s">
        <v>1197</v>
      </c>
      <c r="L127" s="62" t="s">
        <v>1198</v>
      </c>
      <c r="M127" s="62" t="s">
        <v>1199</v>
      </c>
    </row>
    <row r="128" spans="1:13" ht="174" customHeight="1">
      <c r="A128" s="63">
        <v>125</v>
      </c>
      <c r="B128" s="64" t="s">
        <v>1200</v>
      </c>
      <c r="C128" s="65" t="s">
        <v>417</v>
      </c>
      <c r="D128" s="65" t="s">
        <v>88</v>
      </c>
      <c r="E128" s="65" t="s">
        <v>30</v>
      </c>
      <c r="F128" s="65" t="s">
        <v>351</v>
      </c>
      <c r="G128" s="65">
        <v>0</v>
      </c>
      <c r="H128" s="65" t="s">
        <v>1201</v>
      </c>
      <c r="I128" s="65" t="s">
        <v>1202</v>
      </c>
      <c r="J128" s="65" t="s">
        <v>1203</v>
      </c>
      <c r="K128" s="65" t="s">
        <v>1204</v>
      </c>
      <c r="L128" s="65" t="s">
        <v>1205</v>
      </c>
      <c r="M128" s="65" t="s">
        <v>1206</v>
      </c>
    </row>
    <row r="129" spans="1:13" ht="174" customHeight="1">
      <c r="A129" s="60">
        <v>126</v>
      </c>
      <c r="B129" s="61" t="s">
        <v>1207</v>
      </c>
      <c r="C129" s="62" t="s">
        <v>402</v>
      </c>
      <c r="D129" s="62" t="s">
        <v>88</v>
      </c>
      <c r="E129" s="62" t="s">
        <v>134</v>
      </c>
      <c r="F129" s="62" t="s">
        <v>395</v>
      </c>
      <c r="G129" s="62">
        <v>0.22800000000000001</v>
      </c>
      <c r="H129" s="62" t="s">
        <v>1208</v>
      </c>
      <c r="I129" s="62" t="s">
        <v>1209</v>
      </c>
      <c r="J129" s="62" t="s">
        <v>1210</v>
      </c>
      <c r="K129" s="62" t="s">
        <v>1211</v>
      </c>
      <c r="L129" s="62" t="s">
        <v>1212</v>
      </c>
      <c r="M129" s="62" t="s">
        <v>1213</v>
      </c>
    </row>
    <row r="130" spans="1:13" ht="159" customHeight="1">
      <c r="A130" s="60">
        <v>127</v>
      </c>
      <c r="B130" s="61" t="s">
        <v>1214</v>
      </c>
      <c r="C130" s="62" t="s">
        <v>402</v>
      </c>
      <c r="D130" s="62" t="s">
        <v>88</v>
      </c>
      <c r="E130" s="62" t="s">
        <v>58</v>
      </c>
      <c r="F130" s="62" t="s">
        <v>351</v>
      </c>
      <c r="G130" s="62">
        <v>0.29399999999999998</v>
      </c>
      <c r="H130" s="62" t="s">
        <v>88</v>
      </c>
      <c r="I130" s="62" t="s">
        <v>1215</v>
      </c>
      <c r="J130" s="62" t="s">
        <v>1216</v>
      </c>
      <c r="K130" s="62" t="s">
        <v>1217</v>
      </c>
      <c r="L130" s="62" t="s">
        <v>1218</v>
      </c>
      <c r="M130" s="62" t="s">
        <v>1219</v>
      </c>
    </row>
    <row r="131" spans="1:13" ht="144.75" customHeight="1">
      <c r="A131" s="63">
        <v>128</v>
      </c>
      <c r="B131" s="64" t="s">
        <v>1220</v>
      </c>
      <c r="C131" s="65" t="s">
        <v>417</v>
      </c>
      <c r="D131" s="65" t="s">
        <v>88</v>
      </c>
      <c r="E131" s="65" t="s">
        <v>44</v>
      </c>
      <c r="F131" s="65" t="s">
        <v>395</v>
      </c>
      <c r="G131" s="65">
        <v>0</v>
      </c>
      <c r="H131" s="65" t="s">
        <v>1221</v>
      </c>
      <c r="I131" s="65" t="s">
        <v>1222</v>
      </c>
      <c r="J131" s="65" t="s">
        <v>1223</v>
      </c>
      <c r="K131" s="65" t="s">
        <v>1224</v>
      </c>
      <c r="L131" s="65" t="s">
        <v>1225</v>
      </c>
      <c r="M131" s="65" t="s">
        <v>1226</v>
      </c>
    </row>
    <row r="132" spans="1:13" ht="174" customHeight="1">
      <c r="A132" s="63">
        <v>129</v>
      </c>
      <c r="B132" s="64" t="s">
        <v>1227</v>
      </c>
      <c r="C132" s="65" t="s">
        <v>417</v>
      </c>
      <c r="D132" s="65" t="s">
        <v>88</v>
      </c>
      <c r="E132" s="65" t="s">
        <v>131</v>
      </c>
      <c r="F132" s="65" t="s">
        <v>443</v>
      </c>
      <c r="G132" s="65">
        <v>0</v>
      </c>
      <c r="H132" s="65" t="s">
        <v>1228</v>
      </c>
      <c r="I132" s="65" t="s">
        <v>1229</v>
      </c>
      <c r="J132" s="65" t="s">
        <v>1230</v>
      </c>
      <c r="K132" s="65" t="s">
        <v>1231</v>
      </c>
      <c r="L132" s="65" t="s">
        <v>1232</v>
      </c>
      <c r="M132" s="65" t="s">
        <v>1233</v>
      </c>
    </row>
    <row r="133" spans="1:13" ht="174" customHeight="1">
      <c r="A133" s="60">
        <v>130</v>
      </c>
      <c r="B133" s="61" t="s">
        <v>1234</v>
      </c>
      <c r="C133" s="62" t="s">
        <v>402</v>
      </c>
      <c r="D133" s="62" t="s">
        <v>1235</v>
      </c>
      <c r="E133" s="62" t="s">
        <v>65</v>
      </c>
      <c r="F133" s="62" t="s">
        <v>395</v>
      </c>
      <c r="G133" s="62">
        <v>0.14399999999999999</v>
      </c>
      <c r="H133" s="62" t="s">
        <v>1236</v>
      </c>
      <c r="I133" s="62" t="s">
        <v>1237</v>
      </c>
      <c r="J133" s="62" t="s">
        <v>1238</v>
      </c>
      <c r="K133" s="62" t="s">
        <v>1239</v>
      </c>
      <c r="L133" s="62" t="s">
        <v>1240</v>
      </c>
      <c r="M133" s="62" t="s">
        <v>1241</v>
      </c>
    </row>
    <row r="134" spans="1:13" ht="174" customHeight="1">
      <c r="A134" s="63">
        <v>131</v>
      </c>
      <c r="B134" s="64" t="s">
        <v>1242</v>
      </c>
      <c r="C134" s="65" t="s">
        <v>417</v>
      </c>
      <c r="D134" s="65" t="s">
        <v>88</v>
      </c>
      <c r="E134" s="65" t="s">
        <v>23</v>
      </c>
      <c r="F134" s="65" t="s">
        <v>351</v>
      </c>
      <c r="G134" s="65">
        <v>0</v>
      </c>
      <c r="H134" s="65" t="s">
        <v>1243</v>
      </c>
      <c r="I134" s="65" t="s">
        <v>1244</v>
      </c>
      <c r="J134" s="65" t="s">
        <v>1245</v>
      </c>
      <c r="K134" s="65" t="s">
        <v>1246</v>
      </c>
      <c r="L134" s="65" t="s">
        <v>1247</v>
      </c>
      <c r="M134" s="65" t="s">
        <v>1248</v>
      </c>
    </row>
    <row r="135" spans="1:13" ht="144.75" customHeight="1">
      <c r="A135" s="63">
        <v>132</v>
      </c>
      <c r="B135" s="64" t="s">
        <v>1249</v>
      </c>
      <c r="C135" s="65" t="s">
        <v>417</v>
      </c>
      <c r="D135" s="65" t="s">
        <v>88</v>
      </c>
      <c r="E135" s="65" t="s">
        <v>16</v>
      </c>
      <c r="F135" s="65" t="s">
        <v>351</v>
      </c>
      <c r="G135" s="65">
        <v>0</v>
      </c>
      <c r="H135" s="65" t="s">
        <v>1250</v>
      </c>
      <c r="I135" s="65" t="s">
        <v>1251</v>
      </c>
      <c r="J135" s="65" t="s">
        <v>1252</v>
      </c>
      <c r="K135" s="65" t="s">
        <v>1253</v>
      </c>
      <c r="L135" s="65" t="s">
        <v>1254</v>
      </c>
      <c r="M135" s="65" t="s">
        <v>1255</v>
      </c>
    </row>
    <row r="136" spans="1:13" ht="144.75" customHeight="1">
      <c r="A136" s="63">
        <v>133</v>
      </c>
      <c r="B136" s="64" t="s">
        <v>1256</v>
      </c>
      <c r="C136" s="65" t="s">
        <v>417</v>
      </c>
      <c r="D136" s="65" t="s">
        <v>88</v>
      </c>
      <c r="E136" s="65" t="s">
        <v>51</v>
      </c>
      <c r="F136" s="65" t="s">
        <v>395</v>
      </c>
      <c r="G136" s="65">
        <v>0</v>
      </c>
      <c r="H136" s="65" t="s">
        <v>1257</v>
      </c>
      <c r="I136" s="65" t="s">
        <v>1258</v>
      </c>
      <c r="J136" s="65" t="s">
        <v>1259</v>
      </c>
      <c r="K136" s="65" t="s">
        <v>1260</v>
      </c>
      <c r="L136" s="65" t="s">
        <v>1261</v>
      </c>
      <c r="M136" s="65" t="s">
        <v>1262</v>
      </c>
    </row>
    <row r="137" spans="1:13" ht="130.5" customHeight="1">
      <c r="A137" s="63">
        <v>134</v>
      </c>
      <c r="B137" s="64" t="s">
        <v>1263</v>
      </c>
      <c r="C137" s="65" t="s">
        <v>417</v>
      </c>
      <c r="D137" s="65" t="s">
        <v>88</v>
      </c>
      <c r="E137" s="65" t="s">
        <v>72</v>
      </c>
      <c r="F137" s="65" t="s">
        <v>395</v>
      </c>
      <c r="G137" s="65">
        <v>0</v>
      </c>
      <c r="H137" s="65" t="s">
        <v>1264</v>
      </c>
      <c r="I137" s="65" t="s">
        <v>1265</v>
      </c>
      <c r="J137" s="65" t="s">
        <v>1266</v>
      </c>
      <c r="K137" s="65" t="s">
        <v>1267</v>
      </c>
      <c r="L137" s="65" t="s">
        <v>1268</v>
      </c>
      <c r="M137" s="65" t="s">
        <v>1269</v>
      </c>
    </row>
    <row r="138" spans="1:13" ht="144.75" customHeight="1">
      <c r="A138" s="63">
        <v>135</v>
      </c>
      <c r="B138" s="64" t="s">
        <v>1270</v>
      </c>
      <c r="C138" s="65" t="s">
        <v>417</v>
      </c>
      <c r="D138" s="65" t="s">
        <v>88</v>
      </c>
      <c r="E138" s="65" t="s">
        <v>8</v>
      </c>
      <c r="F138" s="65" t="s">
        <v>395</v>
      </c>
      <c r="G138" s="65">
        <v>0</v>
      </c>
      <c r="H138" s="65" t="s">
        <v>1271</v>
      </c>
      <c r="I138" s="65" t="s">
        <v>1272</v>
      </c>
      <c r="J138" s="65" t="s">
        <v>1273</v>
      </c>
      <c r="K138" s="65" t="s">
        <v>1274</v>
      </c>
      <c r="L138" s="65" t="s">
        <v>1275</v>
      </c>
      <c r="M138" s="65" t="s">
        <v>1276</v>
      </c>
    </row>
    <row r="139" spans="1:13" ht="159" customHeight="1">
      <c r="A139" s="63">
        <v>136</v>
      </c>
      <c r="B139" s="64" t="s">
        <v>1277</v>
      </c>
      <c r="C139" s="65" t="s">
        <v>417</v>
      </c>
      <c r="D139" s="65" t="s">
        <v>88</v>
      </c>
      <c r="E139" s="65" t="s">
        <v>30</v>
      </c>
      <c r="F139" s="65" t="s">
        <v>351</v>
      </c>
      <c r="G139" s="65">
        <v>0</v>
      </c>
      <c r="H139" s="65" t="s">
        <v>1278</v>
      </c>
      <c r="I139" s="65" t="s">
        <v>1279</v>
      </c>
      <c r="J139" s="65" t="s">
        <v>1280</v>
      </c>
      <c r="K139" s="65" t="s">
        <v>1281</v>
      </c>
      <c r="L139" s="65" t="s">
        <v>1282</v>
      </c>
      <c r="M139" s="65" t="s">
        <v>1283</v>
      </c>
    </row>
    <row r="140" spans="1:13" ht="144.75" customHeight="1">
      <c r="A140" s="63">
        <v>137</v>
      </c>
      <c r="B140" s="64" t="s">
        <v>1284</v>
      </c>
      <c r="C140" s="65" t="s">
        <v>417</v>
      </c>
      <c r="D140" s="65" t="s">
        <v>88</v>
      </c>
      <c r="E140" s="65" t="s">
        <v>134</v>
      </c>
      <c r="F140" s="65" t="s">
        <v>395</v>
      </c>
      <c r="G140" s="65">
        <v>0</v>
      </c>
      <c r="H140" s="65" t="s">
        <v>1285</v>
      </c>
      <c r="I140" s="65" t="s">
        <v>1286</v>
      </c>
      <c r="J140" s="65" t="s">
        <v>1287</v>
      </c>
      <c r="K140" s="65" t="s">
        <v>1288</v>
      </c>
      <c r="L140" s="65" t="s">
        <v>1289</v>
      </c>
      <c r="M140" s="65" t="s">
        <v>1290</v>
      </c>
    </row>
    <row r="141" spans="1:13" ht="130.5" customHeight="1">
      <c r="A141" s="63">
        <v>138</v>
      </c>
      <c r="B141" s="64" t="s">
        <v>1291</v>
      </c>
      <c r="C141" s="65" t="s">
        <v>417</v>
      </c>
      <c r="D141" s="65" t="s">
        <v>88</v>
      </c>
      <c r="E141" s="65" t="s">
        <v>58</v>
      </c>
      <c r="F141" s="65" t="s">
        <v>351</v>
      </c>
      <c r="G141" s="65">
        <v>0</v>
      </c>
      <c r="H141" s="65" t="s">
        <v>1292</v>
      </c>
      <c r="I141" s="65" t="s">
        <v>1293</v>
      </c>
      <c r="J141" s="65" t="s">
        <v>1294</v>
      </c>
      <c r="K141" s="65" t="s">
        <v>1295</v>
      </c>
      <c r="L141" s="65" t="s">
        <v>1296</v>
      </c>
      <c r="M141" s="65" t="s">
        <v>1297</v>
      </c>
    </row>
    <row r="142" spans="1:13" ht="144.75" customHeight="1">
      <c r="A142" s="63">
        <v>139</v>
      </c>
      <c r="B142" s="64" t="s">
        <v>1298</v>
      </c>
      <c r="C142" s="65" t="s">
        <v>417</v>
      </c>
      <c r="D142" s="65" t="s">
        <v>88</v>
      </c>
      <c r="E142" s="65" t="s">
        <v>44</v>
      </c>
      <c r="F142" s="65" t="s">
        <v>443</v>
      </c>
      <c r="G142" s="65">
        <v>0</v>
      </c>
      <c r="H142" s="65" t="s">
        <v>1299</v>
      </c>
      <c r="I142" s="65" t="s">
        <v>1300</v>
      </c>
      <c r="J142" s="65" t="s">
        <v>1301</v>
      </c>
      <c r="K142" s="65" t="s">
        <v>1302</v>
      </c>
      <c r="L142" s="65" t="s">
        <v>1303</v>
      </c>
      <c r="M142" s="65" t="s">
        <v>1304</v>
      </c>
    </row>
    <row r="143" spans="1:13" ht="159" customHeight="1">
      <c r="A143" s="63">
        <v>140</v>
      </c>
      <c r="B143" s="64" t="s">
        <v>1305</v>
      </c>
      <c r="C143" s="65" t="s">
        <v>417</v>
      </c>
      <c r="D143" s="65" t="s">
        <v>88</v>
      </c>
      <c r="E143" s="65" t="s">
        <v>131</v>
      </c>
      <c r="F143" s="65" t="s">
        <v>443</v>
      </c>
      <c r="G143" s="65">
        <v>0</v>
      </c>
      <c r="H143" s="65" t="s">
        <v>1306</v>
      </c>
      <c r="I143" s="65" t="s">
        <v>1307</v>
      </c>
      <c r="J143" s="65" t="s">
        <v>1308</v>
      </c>
      <c r="K143" s="65" t="s">
        <v>1309</v>
      </c>
      <c r="L143" s="65" t="s">
        <v>1310</v>
      </c>
      <c r="M143" s="65" t="s">
        <v>1311</v>
      </c>
    </row>
    <row r="144" spans="1:13" ht="174" customHeight="1">
      <c r="A144" s="63">
        <v>141</v>
      </c>
      <c r="B144" s="64" t="s">
        <v>1312</v>
      </c>
      <c r="C144" s="65" t="s">
        <v>417</v>
      </c>
      <c r="D144" s="65" t="s">
        <v>88</v>
      </c>
      <c r="E144" s="65" t="s">
        <v>65</v>
      </c>
      <c r="F144" s="65" t="s">
        <v>395</v>
      </c>
      <c r="G144" s="65">
        <v>0</v>
      </c>
      <c r="H144" s="65" t="s">
        <v>1313</v>
      </c>
      <c r="I144" s="65" t="s">
        <v>1314</v>
      </c>
      <c r="J144" s="65" t="s">
        <v>1315</v>
      </c>
      <c r="K144" s="65" t="s">
        <v>1316</v>
      </c>
      <c r="L144" s="65" t="s">
        <v>1317</v>
      </c>
      <c r="M144" s="65" t="s">
        <v>1318</v>
      </c>
    </row>
    <row r="145" spans="1:13" ht="144.75" customHeight="1">
      <c r="A145" s="66">
        <v>142</v>
      </c>
      <c r="B145" s="67" t="s">
        <v>1319</v>
      </c>
      <c r="C145" s="68" t="s">
        <v>640</v>
      </c>
      <c r="D145" s="68" t="s">
        <v>641</v>
      </c>
      <c r="E145" s="68" t="s">
        <v>79</v>
      </c>
      <c r="F145" s="68" t="s">
        <v>395</v>
      </c>
      <c r="G145" s="68" t="s">
        <v>14</v>
      </c>
      <c r="H145" s="68" t="s">
        <v>1320</v>
      </c>
      <c r="I145" s="68" t="s">
        <v>1321</v>
      </c>
      <c r="J145" s="68" t="s">
        <v>1322</v>
      </c>
      <c r="K145" s="68" t="s">
        <v>1323</v>
      </c>
      <c r="L145" s="68" t="s">
        <v>1324</v>
      </c>
      <c r="M145" s="68" t="s">
        <v>1325</v>
      </c>
    </row>
    <row r="146" spans="1:13" ht="130.5" customHeight="1">
      <c r="A146" s="66">
        <v>143</v>
      </c>
      <c r="B146" s="67" t="s">
        <v>1326</v>
      </c>
      <c r="C146" s="68" t="s">
        <v>640</v>
      </c>
      <c r="D146" s="68" t="s">
        <v>641</v>
      </c>
      <c r="E146" s="68" t="s">
        <v>79</v>
      </c>
      <c r="F146" s="68" t="s">
        <v>351</v>
      </c>
      <c r="G146" s="68" t="s">
        <v>14</v>
      </c>
      <c r="H146" s="68" t="s">
        <v>1327</v>
      </c>
      <c r="I146" s="68" t="s">
        <v>1328</v>
      </c>
      <c r="J146" s="68" t="s">
        <v>1329</v>
      </c>
      <c r="K146" s="68" t="s">
        <v>1330</v>
      </c>
      <c r="L146" s="68" t="s">
        <v>1331</v>
      </c>
      <c r="M146" s="68" t="s">
        <v>1332</v>
      </c>
    </row>
    <row r="147" spans="1:13" ht="144.75" customHeight="1">
      <c r="A147" s="66">
        <v>144</v>
      </c>
      <c r="B147" s="67" t="s">
        <v>1333</v>
      </c>
      <c r="C147" s="68" t="s">
        <v>640</v>
      </c>
      <c r="D147" s="68" t="s">
        <v>641</v>
      </c>
      <c r="E147" s="68" t="s">
        <v>79</v>
      </c>
      <c r="F147" s="68" t="s">
        <v>395</v>
      </c>
      <c r="G147" s="68" t="s">
        <v>14</v>
      </c>
      <c r="H147" s="68" t="s">
        <v>1334</v>
      </c>
      <c r="I147" s="68" t="s">
        <v>1335</v>
      </c>
      <c r="J147" s="68" t="s">
        <v>1336</v>
      </c>
      <c r="K147" s="68" t="s">
        <v>1337</v>
      </c>
      <c r="L147" s="68" t="s">
        <v>1338</v>
      </c>
      <c r="M147" s="68" t="s">
        <v>1339</v>
      </c>
    </row>
    <row r="148" spans="1:13" ht="159" customHeight="1">
      <c r="A148" s="66">
        <v>145</v>
      </c>
      <c r="B148" s="67" t="s">
        <v>1340</v>
      </c>
      <c r="C148" s="68" t="s">
        <v>640</v>
      </c>
      <c r="D148" s="68" t="s">
        <v>641</v>
      </c>
      <c r="E148" s="68" t="s">
        <v>649</v>
      </c>
      <c r="F148" s="68" t="s">
        <v>351</v>
      </c>
      <c r="G148" s="68" t="s">
        <v>14</v>
      </c>
      <c r="H148" s="68" t="s">
        <v>1341</v>
      </c>
      <c r="I148" s="68" t="s">
        <v>1342</v>
      </c>
      <c r="J148" s="68" t="s">
        <v>1343</v>
      </c>
      <c r="K148" s="68" t="s">
        <v>1344</v>
      </c>
      <c r="L148" s="68" t="s">
        <v>1345</v>
      </c>
      <c r="M148" s="68" t="s">
        <v>1346</v>
      </c>
    </row>
    <row r="149" spans="1:13" ht="144.75" customHeight="1">
      <c r="A149" s="66">
        <v>146</v>
      </c>
      <c r="B149" s="67" t="s">
        <v>1347</v>
      </c>
      <c r="C149" s="68" t="s">
        <v>640</v>
      </c>
      <c r="D149" s="68" t="s">
        <v>641</v>
      </c>
      <c r="E149" s="68" t="s">
        <v>649</v>
      </c>
      <c r="F149" s="68" t="s">
        <v>351</v>
      </c>
      <c r="G149" s="68" t="s">
        <v>14</v>
      </c>
      <c r="H149" s="68" t="s">
        <v>1348</v>
      </c>
      <c r="I149" s="68" t="s">
        <v>1349</v>
      </c>
      <c r="J149" s="68" t="s">
        <v>1350</v>
      </c>
      <c r="K149" s="68" t="s">
        <v>1351</v>
      </c>
      <c r="L149" s="68" t="s">
        <v>1352</v>
      </c>
      <c r="M149" s="68" t="s">
        <v>1353</v>
      </c>
    </row>
    <row r="150" spans="1:13" ht="174" customHeight="1">
      <c r="A150" s="66">
        <v>147</v>
      </c>
      <c r="B150" s="67" t="s">
        <v>1354</v>
      </c>
      <c r="C150" s="68" t="s">
        <v>640</v>
      </c>
      <c r="D150" s="68" t="s">
        <v>641</v>
      </c>
      <c r="E150" s="68" t="s">
        <v>649</v>
      </c>
      <c r="F150" s="68" t="s">
        <v>395</v>
      </c>
      <c r="G150" s="68" t="s">
        <v>14</v>
      </c>
      <c r="H150" s="68" t="s">
        <v>1355</v>
      </c>
      <c r="I150" s="68" t="s">
        <v>1356</v>
      </c>
      <c r="J150" s="68" t="s">
        <v>1357</v>
      </c>
      <c r="K150" s="68" t="s">
        <v>1358</v>
      </c>
      <c r="L150" s="68" t="s">
        <v>1359</v>
      </c>
      <c r="M150" s="68" t="s">
        <v>1360</v>
      </c>
    </row>
    <row r="151" spans="1:13" ht="130.5" customHeight="1">
      <c r="A151" s="66">
        <v>148</v>
      </c>
      <c r="B151" s="67" t="s">
        <v>1361</v>
      </c>
      <c r="C151" s="68" t="s">
        <v>640</v>
      </c>
      <c r="D151" s="68" t="s">
        <v>641</v>
      </c>
      <c r="E151" s="68" t="s">
        <v>657</v>
      </c>
      <c r="F151" s="68" t="s">
        <v>395</v>
      </c>
      <c r="G151" s="68" t="s">
        <v>14</v>
      </c>
      <c r="H151" s="68" t="s">
        <v>1362</v>
      </c>
      <c r="I151" s="68" t="s">
        <v>1363</v>
      </c>
      <c r="J151" s="68" t="s">
        <v>1364</v>
      </c>
      <c r="K151" s="68" t="s">
        <v>1365</v>
      </c>
      <c r="L151" s="68" t="s">
        <v>1366</v>
      </c>
      <c r="M151" s="68" t="s">
        <v>1367</v>
      </c>
    </row>
    <row r="152" spans="1:13" ht="130.5" customHeight="1">
      <c r="A152" s="66">
        <v>149</v>
      </c>
      <c r="B152" s="67" t="s">
        <v>1368</v>
      </c>
      <c r="C152" s="68" t="s">
        <v>640</v>
      </c>
      <c r="D152" s="68" t="s">
        <v>641</v>
      </c>
      <c r="E152" s="68" t="s">
        <v>657</v>
      </c>
      <c r="F152" s="68" t="s">
        <v>443</v>
      </c>
      <c r="G152" s="68" t="s">
        <v>14</v>
      </c>
      <c r="H152" s="68" t="s">
        <v>1369</v>
      </c>
      <c r="I152" s="68" t="s">
        <v>1370</v>
      </c>
      <c r="J152" s="68" t="s">
        <v>1371</v>
      </c>
      <c r="K152" s="68" t="s">
        <v>1372</v>
      </c>
      <c r="L152" s="68" t="s">
        <v>1373</v>
      </c>
      <c r="M152" s="68" t="s">
        <v>1374</v>
      </c>
    </row>
    <row r="153" spans="1:13" ht="144.75" customHeight="1">
      <c r="A153" s="66">
        <v>150</v>
      </c>
      <c r="B153" s="67" t="s">
        <v>1375</v>
      </c>
      <c r="C153" s="68" t="s">
        <v>640</v>
      </c>
      <c r="D153" s="68" t="s">
        <v>641</v>
      </c>
      <c r="E153" s="68" t="s">
        <v>657</v>
      </c>
      <c r="F153" s="68" t="s">
        <v>395</v>
      </c>
      <c r="G153" s="68" t="s">
        <v>14</v>
      </c>
      <c r="H153" s="68" t="s">
        <v>1376</v>
      </c>
      <c r="I153" s="68" t="s">
        <v>1377</v>
      </c>
      <c r="J153" s="68" t="s">
        <v>1378</v>
      </c>
      <c r="K153" s="68" t="s">
        <v>1379</v>
      </c>
      <c r="L153" s="68" t="s">
        <v>1380</v>
      </c>
      <c r="M153" s="68" t="s">
        <v>1381</v>
      </c>
    </row>
    <row r="154" spans="1:13" ht="144.75" customHeight="1">
      <c r="A154" s="66">
        <v>151</v>
      </c>
      <c r="B154" s="67" t="s">
        <v>1382</v>
      </c>
      <c r="C154" s="68" t="s">
        <v>640</v>
      </c>
      <c r="D154" s="68" t="s">
        <v>641</v>
      </c>
      <c r="E154" s="68" t="s">
        <v>663</v>
      </c>
      <c r="F154" s="68" t="s">
        <v>395</v>
      </c>
      <c r="G154" s="68" t="s">
        <v>14</v>
      </c>
      <c r="H154" s="68" t="s">
        <v>1383</v>
      </c>
      <c r="I154" s="68" t="s">
        <v>1384</v>
      </c>
      <c r="J154" s="68" t="s">
        <v>1385</v>
      </c>
      <c r="K154" s="68" t="s">
        <v>1386</v>
      </c>
      <c r="L154" s="68" t="s">
        <v>1387</v>
      </c>
      <c r="M154" s="68" t="s">
        <v>1388</v>
      </c>
    </row>
    <row r="155" spans="1:13" ht="130.5" customHeight="1">
      <c r="A155" s="66">
        <v>152</v>
      </c>
      <c r="B155" s="67" t="s">
        <v>1389</v>
      </c>
      <c r="C155" s="68" t="s">
        <v>640</v>
      </c>
      <c r="D155" s="68" t="s">
        <v>641</v>
      </c>
      <c r="E155" s="68" t="s">
        <v>663</v>
      </c>
      <c r="F155" s="68" t="s">
        <v>395</v>
      </c>
      <c r="G155" s="68" t="s">
        <v>14</v>
      </c>
      <c r="H155" s="68" t="s">
        <v>1390</v>
      </c>
      <c r="I155" s="68" t="s">
        <v>1391</v>
      </c>
      <c r="J155" s="68" t="s">
        <v>1392</v>
      </c>
      <c r="K155" s="68" t="s">
        <v>1393</v>
      </c>
      <c r="L155" s="68" t="s">
        <v>1394</v>
      </c>
      <c r="M155" s="68" t="s">
        <v>1395</v>
      </c>
    </row>
    <row r="156" spans="1:13" ht="188.25" customHeight="1">
      <c r="A156" s="66">
        <v>153</v>
      </c>
      <c r="B156" s="67" t="s">
        <v>1396</v>
      </c>
      <c r="C156" s="68" t="s">
        <v>640</v>
      </c>
      <c r="D156" s="68" t="s">
        <v>641</v>
      </c>
      <c r="E156" s="68" t="s">
        <v>663</v>
      </c>
      <c r="F156" s="68" t="s">
        <v>443</v>
      </c>
      <c r="G156" s="68" t="s">
        <v>14</v>
      </c>
      <c r="H156" s="68" t="s">
        <v>1397</v>
      </c>
      <c r="I156" s="68" t="s">
        <v>1398</v>
      </c>
      <c r="J156" s="68" t="s">
        <v>1399</v>
      </c>
      <c r="K156" s="68" t="s">
        <v>1400</v>
      </c>
      <c r="L156" s="68" t="s">
        <v>1401</v>
      </c>
      <c r="M156" s="68" t="s">
        <v>1402</v>
      </c>
    </row>
    <row r="157" spans="1:13" ht="130.5" customHeight="1">
      <c r="A157" s="66">
        <v>154</v>
      </c>
      <c r="B157" s="67" t="s">
        <v>1403</v>
      </c>
      <c r="C157" s="68" t="s">
        <v>640</v>
      </c>
      <c r="D157" s="68" t="s">
        <v>641</v>
      </c>
      <c r="E157" s="68" t="s">
        <v>671</v>
      </c>
      <c r="F157" s="68" t="s">
        <v>395</v>
      </c>
      <c r="G157" s="68" t="s">
        <v>14</v>
      </c>
      <c r="H157" s="68" t="s">
        <v>1404</v>
      </c>
      <c r="I157" s="68" t="s">
        <v>1405</v>
      </c>
      <c r="J157" s="68" t="s">
        <v>1406</v>
      </c>
      <c r="K157" s="68" t="s">
        <v>1407</v>
      </c>
      <c r="L157" s="68" t="s">
        <v>1408</v>
      </c>
      <c r="M157" s="68" t="s">
        <v>1409</v>
      </c>
    </row>
    <row r="158" spans="1:13" ht="174" customHeight="1">
      <c r="A158" s="66">
        <v>155</v>
      </c>
      <c r="B158" s="67" t="s">
        <v>1410</v>
      </c>
      <c r="C158" s="68" t="s">
        <v>640</v>
      </c>
      <c r="D158" s="68" t="s">
        <v>641</v>
      </c>
      <c r="E158" s="68" t="s">
        <v>671</v>
      </c>
      <c r="F158" s="68" t="s">
        <v>351</v>
      </c>
      <c r="G158" s="68" t="s">
        <v>14</v>
      </c>
      <c r="H158" s="68" t="s">
        <v>1411</v>
      </c>
      <c r="I158" s="68" t="s">
        <v>1412</v>
      </c>
      <c r="J158" s="68" t="s">
        <v>1413</v>
      </c>
      <c r="K158" s="68" t="s">
        <v>1414</v>
      </c>
      <c r="L158" s="68" t="s">
        <v>1415</v>
      </c>
      <c r="M158" s="68" t="s">
        <v>1416</v>
      </c>
    </row>
    <row r="159" spans="1:13" ht="130.5" customHeight="1">
      <c r="A159" s="66">
        <v>156</v>
      </c>
      <c r="B159" s="67" t="s">
        <v>1417</v>
      </c>
      <c r="C159" s="68" t="s">
        <v>640</v>
      </c>
      <c r="D159" s="68" t="s">
        <v>641</v>
      </c>
      <c r="E159" s="68" t="s">
        <v>671</v>
      </c>
      <c r="F159" s="68" t="s">
        <v>395</v>
      </c>
      <c r="G159" s="68" t="s">
        <v>14</v>
      </c>
      <c r="H159" s="68" t="s">
        <v>1418</v>
      </c>
      <c r="I159" s="68" t="s">
        <v>1419</v>
      </c>
      <c r="J159" s="68" t="s">
        <v>1420</v>
      </c>
      <c r="K159" s="68" t="s">
        <v>1421</v>
      </c>
      <c r="L159" s="68" t="s">
        <v>1422</v>
      </c>
      <c r="M159" s="68" t="s">
        <v>1423</v>
      </c>
    </row>
    <row r="160" spans="1:13" ht="144.75" customHeight="1">
      <c r="A160" s="66">
        <v>157</v>
      </c>
      <c r="B160" s="67" t="s">
        <v>1424</v>
      </c>
      <c r="C160" s="68" t="s">
        <v>640</v>
      </c>
      <c r="D160" s="68" t="s">
        <v>641</v>
      </c>
      <c r="E160" s="68" t="s">
        <v>679</v>
      </c>
      <c r="F160" s="68" t="s">
        <v>351</v>
      </c>
      <c r="G160" s="68" t="s">
        <v>14</v>
      </c>
      <c r="H160" s="68" t="s">
        <v>1425</v>
      </c>
      <c r="I160" s="68" t="s">
        <v>1426</v>
      </c>
      <c r="J160" s="68" t="s">
        <v>1427</v>
      </c>
      <c r="K160" s="68" t="s">
        <v>1428</v>
      </c>
      <c r="L160" s="68" t="s">
        <v>1429</v>
      </c>
      <c r="M160" s="68" t="s">
        <v>1430</v>
      </c>
    </row>
    <row r="161" spans="1:13" ht="159" customHeight="1">
      <c r="A161" s="66">
        <v>158</v>
      </c>
      <c r="B161" s="67" t="s">
        <v>1431</v>
      </c>
      <c r="C161" s="68" t="s">
        <v>640</v>
      </c>
      <c r="D161" s="68" t="s">
        <v>641</v>
      </c>
      <c r="E161" s="68" t="s">
        <v>679</v>
      </c>
      <c r="F161" s="68" t="s">
        <v>351</v>
      </c>
      <c r="G161" s="68" t="s">
        <v>14</v>
      </c>
      <c r="H161" s="68" t="s">
        <v>1432</v>
      </c>
      <c r="I161" s="68" t="s">
        <v>1433</v>
      </c>
      <c r="J161" s="68" t="s">
        <v>1434</v>
      </c>
      <c r="K161" s="68" t="s">
        <v>1435</v>
      </c>
      <c r="L161" s="68" t="s">
        <v>1436</v>
      </c>
      <c r="M161" s="68" t="s">
        <v>1437</v>
      </c>
    </row>
    <row r="162" spans="1:13" ht="130.5" customHeight="1">
      <c r="A162" s="66">
        <v>159</v>
      </c>
      <c r="B162" s="67" t="s">
        <v>1438</v>
      </c>
      <c r="C162" s="68" t="s">
        <v>640</v>
      </c>
      <c r="D162" s="68" t="s">
        <v>641</v>
      </c>
      <c r="E162" s="68" t="s">
        <v>679</v>
      </c>
      <c r="F162" s="68" t="s">
        <v>395</v>
      </c>
      <c r="G162" s="68" t="s">
        <v>14</v>
      </c>
      <c r="H162" s="68" t="s">
        <v>1439</v>
      </c>
      <c r="I162" s="68" t="s">
        <v>1440</v>
      </c>
      <c r="J162" s="68" t="s">
        <v>1441</v>
      </c>
      <c r="K162" s="68" t="s">
        <v>1442</v>
      </c>
      <c r="L162" s="68" t="s">
        <v>1443</v>
      </c>
      <c r="M162" s="68" t="s">
        <v>1444</v>
      </c>
    </row>
    <row r="163" spans="1:13" ht="130.5" customHeight="1">
      <c r="A163" s="66">
        <v>160</v>
      </c>
      <c r="B163" s="67" t="s">
        <v>1445</v>
      </c>
      <c r="C163" s="68" t="s">
        <v>640</v>
      </c>
      <c r="D163" s="68" t="s">
        <v>641</v>
      </c>
      <c r="E163" s="68" t="s">
        <v>687</v>
      </c>
      <c r="F163" s="68" t="s">
        <v>443</v>
      </c>
      <c r="G163" s="68" t="s">
        <v>14</v>
      </c>
      <c r="H163" s="68" t="s">
        <v>1446</v>
      </c>
      <c r="I163" s="68" t="s">
        <v>1447</v>
      </c>
      <c r="J163" s="68" t="s">
        <v>1448</v>
      </c>
      <c r="K163" s="68" t="s">
        <v>1449</v>
      </c>
      <c r="L163" s="68" t="s">
        <v>1450</v>
      </c>
      <c r="M163" s="68" t="s">
        <v>1451</v>
      </c>
    </row>
    <row r="164" spans="1:13" ht="174" customHeight="1">
      <c r="A164" s="66">
        <v>161</v>
      </c>
      <c r="B164" s="67" t="s">
        <v>1452</v>
      </c>
      <c r="C164" s="68" t="s">
        <v>640</v>
      </c>
      <c r="D164" s="68" t="s">
        <v>641</v>
      </c>
      <c r="E164" s="68" t="s">
        <v>687</v>
      </c>
      <c r="F164" s="68" t="s">
        <v>443</v>
      </c>
      <c r="G164" s="68" t="s">
        <v>14</v>
      </c>
      <c r="H164" s="68" t="s">
        <v>1453</v>
      </c>
      <c r="I164" s="68" t="s">
        <v>1454</v>
      </c>
      <c r="J164" s="68" t="s">
        <v>1455</v>
      </c>
      <c r="K164" s="68" t="s">
        <v>1456</v>
      </c>
      <c r="L164" s="68" t="s">
        <v>1457</v>
      </c>
      <c r="M164" s="68" t="s">
        <v>1458</v>
      </c>
    </row>
    <row r="165" spans="1:13" ht="144.75" customHeight="1">
      <c r="A165" s="66">
        <v>162</v>
      </c>
      <c r="B165" s="67" t="s">
        <v>1459</v>
      </c>
      <c r="C165" s="68" t="s">
        <v>640</v>
      </c>
      <c r="D165" s="68" t="s">
        <v>641</v>
      </c>
      <c r="E165" s="68" t="s">
        <v>687</v>
      </c>
      <c r="F165" s="68" t="s">
        <v>395</v>
      </c>
      <c r="G165" s="68" t="s">
        <v>14</v>
      </c>
      <c r="H165" s="68" t="s">
        <v>1460</v>
      </c>
      <c r="I165" s="68" t="s">
        <v>1461</v>
      </c>
      <c r="J165" s="68" t="s">
        <v>1462</v>
      </c>
      <c r="K165" s="68" t="s">
        <v>1463</v>
      </c>
      <c r="L165" s="68" t="s">
        <v>1464</v>
      </c>
      <c r="M165" s="68" t="s">
        <v>1465</v>
      </c>
    </row>
    <row r="166" spans="1:13" ht="188.25" customHeight="1">
      <c r="A166" s="69">
        <v>163</v>
      </c>
      <c r="B166" s="70" t="s">
        <v>1466</v>
      </c>
      <c r="C166" s="71" t="s">
        <v>693</v>
      </c>
      <c r="D166" s="71" t="s">
        <v>641</v>
      </c>
      <c r="E166" s="71" t="s">
        <v>79</v>
      </c>
      <c r="F166" s="71" t="s">
        <v>351</v>
      </c>
      <c r="G166" s="71" t="s">
        <v>14</v>
      </c>
      <c r="H166" s="71" t="s">
        <v>1467</v>
      </c>
      <c r="I166" s="71" t="s">
        <v>1468</v>
      </c>
      <c r="J166" s="71" t="s">
        <v>1469</v>
      </c>
      <c r="K166" s="71" t="s">
        <v>1470</v>
      </c>
      <c r="L166" s="71" t="s">
        <v>1471</v>
      </c>
      <c r="M166" s="71" t="s">
        <v>1472</v>
      </c>
    </row>
    <row r="167" spans="1:13" ht="174" customHeight="1">
      <c r="A167" s="69">
        <v>164</v>
      </c>
      <c r="B167" s="70" t="s">
        <v>1473</v>
      </c>
      <c r="C167" s="71" t="s">
        <v>693</v>
      </c>
      <c r="D167" s="71" t="s">
        <v>641</v>
      </c>
      <c r="E167" s="71" t="s">
        <v>663</v>
      </c>
      <c r="F167" s="71" t="s">
        <v>351</v>
      </c>
      <c r="G167" s="71" t="s">
        <v>14</v>
      </c>
      <c r="H167" s="71" t="s">
        <v>1474</v>
      </c>
      <c r="I167" s="71" t="s">
        <v>1475</v>
      </c>
      <c r="J167" s="71" t="s">
        <v>1476</v>
      </c>
      <c r="K167" s="71" t="s">
        <v>1477</v>
      </c>
      <c r="L167" s="71" t="s">
        <v>1478</v>
      </c>
      <c r="M167" s="71" t="s">
        <v>1479</v>
      </c>
    </row>
  </sheetData>
  <mergeCells count="2">
    <mergeCell ref="A2:M2"/>
    <mergeCell ref="A1:M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0"/>
  <sheetViews>
    <sheetView topLeftCell="N29" zoomScaleNormal="100" zoomScaleSheetLayoutView="100" workbookViewId="0">
      <selection activeCell="O31" sqref="O31"/>
    </sheetView>
  </sheetViews>
  <sheetFormatPr defaultColWidth="8.85546875" defaultRowHeight="14.45"/>
  <cols>
    <col min="2" max="2" width="15.5703125" customWidth="1"/>
    <col min="3" max="3" width="15.28515625" customWidth="1"/>
    <col min="4" max="4" width="13.7109375" customWidth="1"/>
    <col min="5" max="5" width="16.42578125" customWidth="1"/>
    <col min="8" max="8" width="21.140625" customWidth="1"/>
    <col min="9" max="9" width="19.140625" customWidth="1"/>
    <col min="10" max="10" width="24" customWidth="1"/>
    <col min="11" max="11" width="21.5703125" customWidth="1"/>
    <col min="12" max="12" width="32.85546875" customWidth="1"/>
    <col min="13" max="13" width="42.28515625" customWidth="1"/>
    <col min="14" max="14" width="55" customWidth="1"/>
    <col min="15" max="15" width="50" customWidth="1"/>
  </cols>
  <sheetData>
    <row r="1" spans="1:15" ht="18.75" customHeight="1">
      <c r="A1" s="157" t="s">
        <v>1480</v>
      </c>
      <c r="B1" s="156"/>
      <c r="C1" s="156"/>
      <c r="D1" s="156"/>
      <c r="E1" s="156"/>
      <c r="F1" s="156"/>
      <c r="G1" s="156"/>
      <c r="H1" s="156"/>
      <c r="I1" s="156"/>
      <c r="J1" s="156"/>
      <c r="K1" s="156"/>
      <c r="L1" s="156"/>
      <c r="M1" s="156"/>
    </row>
    <row r="2" spans="1:15">
      <c r="A2" s="158" t="s">
        <v>1481</v>
      </c>
      <c r="B2" s="156"/>
      <c r="C2" s="156"/>
      <c r="D2" s="156"/>
      <c r="E2" s="156"/>
      <c r="F2" s="156"/>
      <c r="G2" s="156"/>
      <c r="H2" s="156"/>
      <c r="I2" s="156"/>
      <c r="J2" s="156"/>
      <c r="K2" s="156"/>
      <c r="L2" s="156"/>
      <c r="M2" s="156"/>
    </row>
    <row r="3" spans="1:15" ht="30.75" customHeight="1">
      <c r="A3" s="87" t="s">
        <v>339</v>
      </c>
      <c r="B3" s="88" t="s">
        <v>340</v>
      </c>
      <c r="C3" s="88" t="s">
        <v>341</v>
      </c>
      <c r="D3" s="88" t="s">
        <v>92</v>
      </c>
      <c r="E3" s="88" t="s">
        <v>117</v>
      </c>
      <c r="F3" s="88" t="s">
        <v>116</v>
      </c>
      <c r="G3" s="88" t="s">
        <v>342</v>
      </c>
      <c r="H3" s="88" t="s">
        <v>343</v>
      </c>
      <c r="I3" s="88" t="s">
        <v>344</v>
      </c>
      <c r="J3" s="88" t="s">
        <v>345</v>
      </c>
      <c r="K3" s="88" t="s">
        <v>346</v>
      </c>
      <c r="L3" s="88" t="s">
        <v>347</v>
      </c>
      <c r="M3" s="88" t="s">
        <v>348</v>
      </c>
      <c r="N3" s="88" t="s">
        <v>1482</v>
      </c>
      <c r="O3" s="88" t="s">
        <v>1483</v>
      </c>
    </row>
    <row r="4" spans="1:15" ht="87" customHeight="1">
      <c r="A4" s="57">
        <v>1</v>
      </c>
      <c r="B4" s="58" t="s">
        <v>349</v>
      </c>
      <c r="C4" s="59" t="s">
        <v>350</v>
      </c>
      <c r="D4" s="59" t="s">
        <v>85</v>
      </c>
      <c r="E4" s="59" t="s">
        <v>16</v>
      </c>
      <c r="F4" s="59" t="s">
        <v>351</v>
      </c>
      <c r="G4" s="59">
        <v>5</v>
      </c>
      <c r="H4" s="59" t="s">
        <v>85</v>
      </c>
      <c r="I4" s="59" t="s">
        <v>352</v>
      </c>
      <c r="J4" s="59" t="s">
        <v>353</v>
      </c>
      <c r="K4" s="59" t="s">
        <v>354</v>
      </c>
      <c r="L4" s="59" t="s">
        <v>355</v>
      </c>
      <c r="M4" s="59" t="s">
        <v>356</v>
      </c>
      <c r="N4" s="72" t="s">
        <v>1484</v>
      </c>
      <c r="O4" s="72" t="s">
        <v>1485</v>
      </c>
    </row>
    <row r="5" spans="1:15" ht="87" customHeight="1">
      <c r="A5" s="57">
        <v>2</v>
      </c>
      <c r="B5" s="58" t="s">
        <v>357</v>
      </c>
      <c r="C5" s="59" t="s">
        <v>350</v>
      </c>
      <c r="D5" s="59" t="s">
        <v>101</v>
      </c>
      <c r="E5" s="59" t="s">
        <v>8</v>
      </c>
      <c r="F5" s="59" t="s">
        <v>351</v>
      </c>
      <c r="G5" s="59">
        <v>4</v>
      </c>
      <c r="H5" s="59" t="s">
        <v>101</v>
      </c>
      <c r="I5" s="59" t="s">
        <v>358</v>
      </c>
      <c r="J5" s="59" t="s">
        <v>359</v>
      </c>
      <c r="K5" s="59" t="s">
        <v>360</v>
      </c>
      <c r="L5" s="59" t="s">
        <v>361</v>
      </c>
      <c r="M5" s="59" t="s">
        <v>362</v>
      </c>
      <c r="N5" s="72" t="s">
        <v>1486</v>
      </c>
      <c r="O5" s="72" t="s">
        <v>1487</v>
      </c>
    </row>
    <row r="6" spans="1:15" ht="72.75" customHeight="1">
      <c r="A6" s="57">
        <v>3</v>
      </c>
      <c r="B6" s="58" t="s">
        <v>363</v>
      </c>
      <c r="C6" s="59" t="s">
        <v>350</v>
      </c>
      <c r="D6" s="59" t="s">
        <v>106</v>
      </c>
      <c r="E6" s="59" t="s">
        <v>8</v>
      </c>
      <c r="F6" s="59" t="s">
        <v>351</v>
      </c>
      <c r="G6" s="59">
        <v>4</v>
      </c>
      <c r="H6" s="59" t="s">
        <v>106</v>
      </c>
      <c r="I6" s="59" t="s">
        <v>364</v>
      </c>
      <c r="J6" s="59" t="s">
        <v>365</v>
      </c>
      <c r="K6" s="59" t="s">
        <v>366</v>
      </c>
      <c r="L6" s="59" t="s">
        <v>367</v>
      </c>
      <c r="M6" s="59" t="s">
        <v>368</v>
      </c>
      <c r="N6" s="72" t="s">
        <v>1488</v>
      </c>
      <c r="O6" s="72" t="s">
        <v>1489</v>
      </c>
    </row>
    <row r="7" spans="1:15" ht="101.25" customHeight="1">
      <c r="A7" s="57">
        <v>4</v>
      </c>
      <c r="B7" s="58" t="s">
        <v>369</v>
      </c>
      <c r="C7" s="59" t="s">
        <v>350</v>
      </c>
      <c r="D7" s="59" t="s">
        <v>88</v>
      </c>
      <c r="E7" s="59" t="s">
        <v>23</v>
      </c>
      <c r="F7" s="59" t="s">
        <v>351</v>
      </c>
      <c r="G7" s="59">
        <v>3</v>
      </c>
      <c r="H7" s="59" t="s">
        <v>88</v>
      </c>
      <c r="I7" s="59" t="s">
        <v>370</v>
      </c>
      <c r="J7" s="59" t="s">
        <v>371</v>
      </c>
      <c r="K7" s="59" t="s">
        <v>372</v>
      </c>
      <c r="L7" s="59" t="s">
        <v>373</v>
      </c>
      <c r="M7" s="59" t="s">
        <v>374</v>
      </c>
      <c r="N7" s="72" t="s">
        <v>1490</v>
      </c>
      <c r="O7" s="72" t="s">
        <v>1491</v>
      </c>
    </row>
    <row r="8" spans="1:15" ht="101.25" customHeight="1">
      <c r="A8" s="57">
        <v>5</v>
      </c>
      <c r="B8" s="58" t="s">
        <v>375</v>
      </c>
      <c r="C8" s="59" t="s">
        <v>350</v>
      </c>
      <c r="D8" s="59" t="s">
        <v>88</v>
      </c>
      <c r="E8" s="59" t="s">
        <v>134</v>
      </c>
      <c r="F8" s="59" t="s">
        <v>351</v>
      </c>
      <c r="G8" s="59">
        <v>3</v>
      </c>
      <c r="H8" s="59" t="s">
        <v>88</v>
      </c>
      <c r="I8" s="59" t="s">
        <v>376</v>
      </c>
      <c r="J8" s="59" t="s">
        <v>377</v>
      </c>
      <c r="K8" s="59" t="s">
        <v>378</v>
      </c>
      <c r="L8" s="59" t="s">
        <v>379</v>
      </c>
      <c r="M8" s="59" t="s">
        <v>380</v>
      </c>
      <c r="N8" s="72" t="s">
        <v>1492</v>
      </c>
      <c r="O8" s="72" t="s">
        <v>1493</v>
      </c>
    </row>
    <row r="9" spans="1:15" ht="72.75" customHeight="1">
      <c r="A9" s="57">
        <v>6</v>
      </c>
      <c r="B9" s="58" t="s">
        <v>381</v>
      </c>
      <c r="C9" s="59" t="s">
        <v>350</v>
      </c>
      <c r="D9" s="59" t="s">
        <v>106</v>
      </c>
      <c r="E9" s="59" t="s">
        <v>30</v>
      </c>
      <c r="F9" s="59" t="s">
        <v>351</v>
      </c>
      <c r="G9" s="59">
        <v>3</v>
      </c>
      <c r="H9" s="59" t="s">
        <v>382</v>
      </c>
      <c r="I9" s="59" t="s">
        <v>383</v>
      </c>
      <c r="J9" s="59" t="s">
        <v>384</v>
      </c>
      <c r="K9" s="59" t="s">
        <v>385</v>
      </c>
      <c r="L9" s="59" t="s">
        <v>386</v>
      </c>
      <c r="M9" s="59" t="s">
        <v>387</v>
      </c>
      <c r="N9" s="72" t="s">
        <v>1494</v>
      </c>
      <c r="O9" s="72" t="s">
        <v>1495</v>
      </c>
    </row>
    <row r="10" spans="1:15" ht="87" customHeight="1">
      <c r="A10" s="57">
        <v>7</v>
      </c>
      <c r="B10" s="58" t="s">
        <v>388</v>
      </c>
      <c r="C10" s="59" t="s">
        <v>350</v>
      </c>
      <c r="D10" s="59" t="s">
        <v>88</v>
      </c>
      <c r="E10" s="59" t="s">
        <v>58</v>
      </c>
      <c r="F10" s="59" t="s">
        <v>351</v>
      </c>
      <c r="G10" s="59">
        <v>3</v>
      </c>
      <c r="H10" s="59" t="s">
        <v>88</v>
      </c>
      <c r="I10" s="59" t="s">
        <v>389</v>
      </c>
      <c r="J10" s="59" t="s">
        <v>390</v>
      </c>
      <c r="K10" s="59" t="s">
        <v>391</v>
      </c>
      <c r="L10" s="59" t="s">
        <v>392</v>
      </c>
      <c r="M10" s="59" t="s">
        <v>393</v>
      </c>
      <c r="N10" s="72" t="s">
        <v>1496</v>
      </c>
      <c r="O10" s="72" t="s">
        <v>1497</v>
      </c>
    </row>
    <row r="11" spans="1:15" ht="87" customHeight="1">
      <c r="A11" s="57">
        <v>8</v>
      </c>
      <c r="B11" s="58" t="s">
        <v>394</v>
      </c>
      <c r="C11" s="59" t="s">
        <v>350</v>
      </c>
      <c r="D11" s="59" t="s">
        <v>106</v>
      </c>
      <c r="E11" s="59" t="s">
        <v>65</v>
      </c>
      <c r="F11" s="59" t="s">
        <v>395</v>
      </c>
      <c r="G11" s="59">
        <v>3</v>
      </c>
      <c r="H11" s="59" t="s">
        <v>106</v>
      </c>
      <c r="I11" s="59" t="s">
        <v>396</v>
      </c>
      <c r="J11" s="59" t="s">
        <v>397</v>
      </c>
      <c r="K11" s="59" t="s">
        <v>398</v>
      </c>
      <c r="L11" s="59" t="s">
        <v>399</v>
      </c>
      <c r="M11" s="59" t="s">
        <v>400</v>
      </c>
      <c r="N11" s="72" t="s">
        <v>1498</v>
      </c>
      <c r="O11" s="72" t="s">
        <v>1499</v>
      </c>
    </row>
    <row r="12" spans="1:15" ht="87" customHeight="1">
      <c r="A12" s="60">
        <v>9</v>
      </c>
      <c r="B12" s="61" t="s">
        <v>401</v>
      </c>
      <c r="C12" s="62" t="s">
        <v>402</v>
      </c>
      <c r="D12" s="62" t="s">
        <v>85</v>
      </c>
      <c r="E12" s="62" t="s">
        <v>23</v>
      </c>
      <c r="F12" s="62" t="s">
        <v>351</v>
      </c>
      <c r="G12" s="62">
        <v>0.40799999999999997</v>
      </c>
      <c r="H12" s="62" t="s">
        <v>403</v>
      </c>
      <c r="I12" s="62" t="s">
        <v>404</v>
      </c>
      <c r="J12" s="62" t="s">
        <v>405</v>
      </c>
      <c r="K12" s="62" t="s">
        <v>406</v>
      </c>
      <c r="L12" s="62" t="s">
        <v>407</v>
      </c>
      <c r="M12" s="62" t="s">
        <v>408</v>
      </c>
      <c r="N12" s="72" t="s">
        <v>1500</v>
      </c>
      <c r="O12" s="72" t="s">
        <v>1501</v>
      </c>
    </row>
    <row r="13" spans="1:15" ht="72.75" customHeight="1">
      <c r="A13" s="60">
        <v>10</v>
      </c>
      <c r="B13" s="61" t="s">
        <v>471</v>
      </c>
      <c r="C13" s="62" t="s">
        <v>402</v>
      </c>
      <c r="D13" s="62" t="s">
        <v>101</v>
      </c>
      <c r="E13" s="62" t="s">
        <v>23</v>
      </c>
      <c r="F13" s="62" t="s">
        <v>351</v>
      </c>
      <c r="G13" s="62">
        <v>0.40799999999999997</v>
      </c>
      <c r="H13" s="62" t="s">
        <v>472</v>
      </c>
      <c r="I13" s="62" t="s">
        <v>473</v>
      </c>
      <c r="J13" s="62" t="s">
        <v>474</v>
      </c>
      <c r="K13" s="62" t="s">
        <v>475</v>
      </c>
      <c r="L13" s="62" t="s">
        <v>476</v>
      </c>
      <c r="M13" s="62" t="s">
        <v>477</v>
      </c>
      <c r="N13" s="72" t="s">
        <v>1502</v>
      </c>
      <c r="O13" s="72" t="s">
        <v>1503</v>
      </c>
    </row>
    <row r="14" spans="1:15" ht="115.5" customHeight="1">
      <c r="A14" s="60">
        <v>11</v>
      </c>
      <c r="B14" s="61" t="s">
        <v>1013</v>
      </c>
      <c r="C14" s="62" t="s">
        <v>402</v>
      </c>
      <c r="D14" s="62" t="s">
        <v>106</v>
      </c>
      <c r="E14" s="62" t="s">
        <v>23</v>
      </c>
      <c r="F14" s="62" t="s">
        <v>351</v>
      </c>
      <c r="G14" s="62">
        <v>0.40799999999999997</v>
      </c>
      <c r="H14" s="62" t="s">
        <v>1014</v>
      </c>
      <c r="I14" s="62" t="s">
        <v>1015</v>
      </c>
      <c r="J14" s="62" t="s">
        <v>1016</v>
      </c>
      <c r="K14" s="62" t="s">
        <v>1017</v>
      </c>
      <c r="L14" s="62" t="s">
        <v>1018</v>
      </c>
      <c r="M14" s="62" t="s">
        <v>1019</v>
      </c>
      <c r="N14" s="72" t="s">
        <v>1504</v>
      </c>
      <c r="O14" s="72" t="s">
        <v>1505</v>
      </c>
    </row>
    <row r="15" spans="1:15" ht="159" customHeight="1">
      <c r="A15" s="60">
        <v>12</v>
      </c>
      <c r="B15" s="61" t="s">
        <v>1172</v>
      </c>
      <c r="C15" s="62" t="s">
        <v>402</v>
      </c>
      <c r="D15" s="62" t="s">
        <v>88</v>
      </c>
      <c r="E15" s="62" t="s">
        <v>16</v>
      </c>
      <c r="F15" s="62" t="s">
        <v>351</v>
      </c>
      <c r="G15" s="62">
        <v>0.42</v>
      </c>
      <c r="H15" s="62" t="s">
        <v>1173</v>
      </c>
      <c r="I15" s="62" t="s">
        <v>1174</v>
      </c>
      <c r="J15" s="62" t="s">
        <v>1175</v>
      </c>
      <c r="K15" s="62" t="s">
        <v>1176</v>
      </c>
      <c r="L15" s="62" t="s">
        <v>1177</v>
      </c>
      <c r="M15" s="62" t="s">
        <v>1178</v>
      </c>
      <c r="N15" s="72" t="s">
        <v>1506</v>
      </c>
      <c r="O15" s="72" t="s">
        <v>1507</v>
      </c>
    </row>
    <row r="16" spans="1:15" ht="174" customHeight="1">
      <c r="A16" s="60">
        <v>13</v>
      </c>
      <c r="B16" s="61" t="s">
        <v>713</v>
      </c>
      <c r="C16" s="62" t="s">
        <v>402</v>
      </c>
      <c r="D16" s="62" t="s">
        <v>85</v>
      </c>
      <c r="E16" s="62" t="s">
        <v>16</v>
      </c>
      <c r="F16" s="62" t="s">
        <v>351</v>
      </c>
      <c r="G16" s="62">
        <v>0.42</v>
      </c>
      <c r="H16" s="62" t="s">
        <v>714</v>
      </c>
      <c r="I16" s="62" t="s">
        <v>715</v>
      </c>
      <c r="J16" s="62" t="s">
        <v>716</v>
      </c>
      <c r="K16" s="62" t="s">
        <v>717</v>
      </c>
      <c r="L16" s="62" t="s">
        <v>718</v>
      </c>
      <c r="M16" s="62" t="s">
        <v>719</v>
      </c>
      <c r="N16" s="72" t="s">
        <v>1508</v>
      </c>
      <c r="O16" s="72" t="s">
        <v>1509</v>
      </c>
    </row>
    <row r="17" spans="1:15" ht="130.5" customHeight="1">
      <c r="A17" s="60">
        <v>14</v>
      </c>
      <c r="B17" s="61" t="s">
        <v>478</v>
      </c>
      <c r="C17" s="62" t="s">
        <v>402</v>
      </c>
      <c r="D17" s="62" t="s">
        <v>101</v>
      </c>
      <c r="E17" s="62" t="s">
        <v>16</v>
      </c>
      <c r="F17" s="62" t="s">
        <v>351</v>
      </c>
      <c r="G17" s="62">
        <v>0.42</v>
      </c>
      <c r="H17" s="62" t="s">
        <v>479</v>
      </c>
      <c r="I17" s="62" t="s">
        <v>480</v>
      </c>
      <c r="J17" s="62" t="s">
        <v>419</v>
      </c>
      <c r="K17" s="62" t="s">
        <v>481</v>
      </c>
      <c r="L17" s="62" t="s">
        <v>482</v>
      </c>
      <c r="M17" s="62" t="s">
        <v>483</v>
      </c>
      <c r="N17" s="72" t="s">
        <v>1510</v>
      </c>
      <c r="O17" s="72" t="s">
        <v>1511</v>
      </c>
    </row>
    <row r="18" spans="1:15" ht="115.5" customHeight="1">
      <c r="A18" s="60">
        <v>15</v>
      </c>
      <c r="B18" s="61" t="s">
        <v>537</v>
      </c>
      <c r="C18" s="62" t="s">
        <v>402</v>
      </c>
      <c r="D18" s="62" t="s">
        <v>106</v>
      </c>
      <c r="E18" s="62" t="s">
        <v>16</v>
      </c>
      <c r="F18" s="62" t="s">
        <v>351</v>
      </c>
      <c r="G18" s="62">
        <v>0.42</v>
      </c>
      <c r="H18" s="62" t="s">
        <v>538</v>
      </c>
      <c r="I18" s="62" t="s">
        <v>539</v>
      </c>
      <c r="J18" s="62" t="s">
        <v>419</v>
      </c>
      <c r="K18" s="62" t="s">
        <v>540</v>
      </c>
      <c r="L18" s="62" t="s">
        <v>541</v>
      </c>
      <c r="M18" s="62" t="s">
        <v>542</v>
      </c>
      <c r="N18" s="72" t="s">
        <v>1512</v>
      </c>
      <c r="O18" s="72" t="s">
        <v>1513</v>
      </c>
    </row>
    <row r="19" spans="1:15" ht="101.25" customHeight="1">
      <c r="A19" s="60">
        <v>16</v>
      </c>
      <c r="B19" s="61" t="s">
        <v>596</v>
      </c>
      <c r="C19" s="62" t="s">
        <v>402</v>
      </c>
      <c r="D19" s="62" t="s">
        <v>88</v>
      </c>
      <c r="E19" s="62" t="s">
        <v>51</v>
      </c>
      <c r="F19" s="62" t="s">
        <v>395</v>
      </c>
      <c r="G19" s="62">
        <v>0.128</v>
      </c>
      <c r="H19" s="62" t="s">
        <v>88</v>
      </c>
      <c r="I19" s="62" t="s">
        <v>597</v>
      </c>
      <c r="J19" s="62" t="s">
        <v>598</v>
      </c>
      <c r="K19" s="62" t="s">
        <v>599</v>
      </c>
      <c r="L19" s="62" t="s">
        <v>600</v>
      </c>
      <c r="M19" s="62" t="s">
        <v>601</v>
      </c>
      <c r="N19" s="72" t="s">
        <v>1514</v>
      </c>
      <c r="O19" s="72" t="s">
        <v>1515</v>
      </c>
    </row>
    <row r="20" spans="1:15" ht="130.5" customHeight="1">
      <c r="A20" s="60">
        <v>17</v>
      </c>
      <c r="B20" s="61" t="s">
        <v>720</v>
      </c>
      <c r="C20" s="62" t="s">
        <v>402</v>
      </c>
      <c r="D20" s="62" t="s">
        <v>85</v>
      </c>
      <c r="E20" s="62" t="s">
        <v>51</v>
      </c>
      <c r="F20" s="62" t="s">
        <v>395</v>
      </c>
      <c r="G20" s="62">
        <v>0.129</v>
      </c>
      <c r="H20" s="62" t="s">
        <v>85</v>
      </c>
      <c r="I20" s="62" t="s">
        <v>721</v>
      </c>
      <c r="J20" s="62" t="s">
        <v>722</v>
      </c>
      <c r="K20" s="62" t="s">
        <v>723</v>
      </c>
      <c r="L20" s="62" t="s">
        <v>724</v>
      </c>
      <c r="M20" s="62" t="s">
        <v>725</v>
      </c>
      <c r="N20" s="72" t="s">
        <v>1516</v>
      </c>
      <c r="O20" s="72" t="s">
        <v>1517</v>
      </c>
    </row>
    <row r="21" spans="1:15" ht="101.25" customHeight="1">
      <c r="A21" s="60">
        <v>18</v>
      </c>
      <c r="B21" s="61" t="s">
        <v>505</v>
      </c>
      <c r="C21" s="62" t="s">
        <v>402</v>
      </c>
      <c r="D21" s="62" t="s">
        <v>101</v>
      </c>
      <c r="E21" s="62" t="s">
        <v>72</v>
      </c>
      <c r="F21" s="62" t="s">
        <v>395</v>
      </c>
      <c r="G21" s="62">
        <v>0.114</v>
      </c>
      <c r="H21" s="62" t="s">
        <v>506</v>
      </c>
      <c r="I21" s="62" t="s">
        <v>507</v>
      </c>
      <c r="J21" s="62" t="s">
        <v>508</v>
      </c>
      <c r="K21" s="62" t="s">
        <v>509</v>
      </c>
      <c r="L21" s="62" t="s">
        <v>510</v>
      </c>
      <c r="M21" s="62" t="s">
        <v>511</v>
      </c>
      <c r="N21" s="72" t="s">
        <v>1518</v>
      </c>
      <c r="O21" s="72" t="s">
        <v>1519</v>
      </c>
    </row>
    <row r="22" spans="1:15" ht="144.75" customHeight="1">
      <c r="A22" s="60">
        <v>19</v>
      </c>
      <c r="B22" s="61" t="s">
        <v>1117</v>
      </c>
      <c r="C22" s="62" t="s">
        <v>402</v>
      </c>
      <c r="D22" s="62" t="s">
        <v>106</v>
      </c>
      <c r="E22" s="62" t="s">
        <v>8</v>
      </c>
      <c r="F22" s="62" t="s">
        <v>351</v>
      </c>
      <c r="G22" s="62">
        <v>0.375</v>
      </c>
      <c r="H22" s="62" t="s">
        <v>1118</v>
      </c>
      <c r="I22" s="62" t="s">
        <v>1119</v>
      </c>
      <c r="J22" s="62" t="s">
        <v>1120</v>
      </c>
      <c r="K22" s="62" t="s">
        <v>1121</v>
      </c>
      <c r="L22" s="62" t="s">
        <v>1122</v>
      </c>
      <c r="M22" s="62" t="s">
        <v>1123</v>
      </c>
      <c r="N22" s="72" t="s">
        <v>1520</v>
      </c>
      <c r="O22" s="72" t="s">
        <v>1521</v>
      </c>
    </row>
    <row r="23" spans="1:15" ht="159" customHeight="1">
      <c r="A23" s="60">
        <v>20</v>
      </c>
      <c r="B23" s="61" t="s">
        <v>1193</v>
      </c>
      <c r="C23" s="62" t="s">
        <v>402</v>
      </c>
      <c r="D23" s="62" t="s">
        <v>88</v>
      </c>
      <c r="E23" s="62" t="s">
        <v>8</v>
      </c>
      <c r="F23" s="62" t="s">
        <v>351</v>
      </c>
      <c r="G23" s="62">
        <v>0.375</v>
      </c>
      <c r="H23" s="62" t="s">
        <v>1194</v>
      </c>
      <c r="I23" s="62" t="s">
        <v>1195</v>
      </c>
      <c r="J23" s="62" t="s">
        <v>1196</v>
      </c>
      <c r="K23" s="62" t="s">
        <v>1197</v>
      </c>
      <c r="L23" s="62" t="s">
        <v>1198</v>
      </c>
      <c r="M23" s="62" t="s">
        <v>1199</v>
      </c>
      <c r="N23" s="72" t="s">
        <v>1522</v>
      </c>
      <c r="O23" s="72" t="s">
        <v>1523</v>
      </c>
    </row>
    <row r="24" spans="1:15" ht="115.5" customHeight="1">
      <c r="A24" s="60">
        <v>21</v>
      </c>
      <c r="B24" s="61" t="s">
        <v>409</v>
      </c>
      <c r="C24" s="62" t="s">
        <v>402</v>
      </c>
      <c r="D24" s="62" t="s">
        <v>85</v>
      </c>
      <c r="E24" s="62" t="s">
        <v>8</v>
      </c>
      <c r="F24" s="62" t="s">
        <v>351</v>
      </c>
      <c r="G24" s="62">
        <v>0.375</v>
      </c>
      <c r="H24" s="62" t="s">
        <v>410</v>
      </c>
      <c r="I24" s="62" t="s">
        <v>411</v>
      </c>
      <c r="J24" s="62" t="s">
        <v>412</v>
      </c>
      <c r="K24" s="62" t="s">
        <v>1524</v>
      </c>
      <c r="L24" s="62" t="s">
        <v>414</v>
      </c>
      <c r="M24" s="62" t="s">
        <v>415</v>
      </c>
      <c r="N24" s="72" t="s">
        <v>1525</v>
      </c>
      <c r="O24" s="72" t="s">
        <v>1526</v>
      </c>
    </row>
    <row r="25" spans="1:15" ht="159" customHeight="1">
      <c r="A25" s="60">
        <v>22</v>
      </c>
      <c r="B25" s="61" t="s">
        <v>894</v>
      </c>
      <c r="C25" s="62" t="s">
        <v>402</v>
      </c>
      <c r="D25" s="62" t="s">
        <v>101</v>
      </c>
      <c r="E25" s="62" t="s">
        <v>30</v>
      </c>
      <c r="F25" s="62" t="s">
        <v>351</v>
      </c>
      <c r="G25" s="62">
        <v>0.29399999999999998</v>
      </c>
      <c r="H25" s="62" t="s">
        <v>895</v>
      </c>
      <c r="I25" s="62" t="s">
        <v>896</v>
      </c>
      <c r="J25" s="62" t="s">
        <v>897</v>
      </c>
      <c r="K25" s="62" t="s">
        <v>898</v>
      </c>
      <c r="L25" s="62" t="s">
        <v>899</v>
      </c>
      <c r="M25" s="62" t="s">
        <v>900</v>
      </c>
      <c r="N25" s="72" t="s">
        <v>1527</v>
      </c>
      <c r="O25" s="72" t="s">
        <v>1528</v>
      </c>
    </row>
    <row r="26" spans="1:15" ht="144.75" customHeight="1">
      <c r="A26" s="60">
        <v>23</v>
      </c>
      <c r="B26" s="61" t="s">
        <v>1048</v>
      </c>
      <c r="C26" s="62" t="s">
        <v>402</v>
      </c>
      <c r="D26" s="62" t="s">
        <v>106</v>
      </c>
      <c r="E26" s="62" t="s">
        <v>30</v>
      </c>
      <c r="F26" s="62" t="s">
        <v>351</v>
      </c>
      <c r="G26" s="62">
        <v>0.29399999999999998</v>
      </c>
      <c r="H26" s="62" t="s">
        <v>1049</v>
      </c>
      <c r="I26" s="62" t="s">
        <v>1050</v>
      </c>
      <c r="J26" s="62" t="s">
        <v>1051</v>
      </c>
      <c r="K26" s="62" t="s">
        <v>1052</v>
      </c>
      <c r="L26" s="62" t="s">
        <v>1053</v>
      </c>
      <c r="M26" s="62" t="s">
        <v>1054</v>
      </c>
      <c r="N26" s="72" t="s">
        <v>1529</v>
      </c>
      <c r="O26" s="72" t="s">
        <v>1530</v>
      </c>
    </row>
    <row r="27" spans="1:15" ht="159" customHeight="1">
      <c r="A27" s="60">
        <v>24</v>
      </c>
      <c r="B27" s="61" t="s">
        <v>1207</v>
      </c>
      <c r="C27" s="62" t="s">
        <v>402</v>
      </c>
      <c r="D27" s="62" t="s">
        <v>88</v>
      </c>
      <c r="E27" s="62" t="s">
        <v>134</v>
      </c>
      <c r="F27" s="62" t="s">
        <v>395</v>
      </c>
      <c r="G27" s="62">
        <v>0.22800000000000001</v>
      </c>
      <c r="H27" s="62" t="s">
        <v>1208</v>
      </c>
      <c r="I27" s="62" t="s">
        <v>1209</v>
      </c>
      <c r="J27" s="62" t="s">
        <v>1210</v>
      </c>
      <c r="K27" s="62" t="s">
        <v>1211</v>
      </c>
      <c r="L27" s="62" t="s">
        <v>1212</v>
      </c>
      <c r="M27" s="62" t="s">
        <v>1213</v>
      </c>
      <c r="N27" s="72" t="s">
        <v>1531</v>
      </c>
      <c r="O27" s="72" t="s">
        <v>1532</v>
      </c>
    </row>
    <row r="28" spans="1:15" ht="101.25" customHeight="1">
      <c r="A28" s="60">
        <v>25</v>
      </c>
      <c r="B28" s="61" t="s">
        <v>435</v>
      </c>
      <c r="C28" s="62" t="s">
        <v>402</v>
      </c>
      <c r="D28" s="62" t="s">
        <v>85</v>
      </c>
      <c r="E28" s="62" t="s">
        <v>134</v>
      </c>
      <c r="F28" s="62" t="s">
        <v>395</v>
      </c>
      <c r="G28" s="62">
        <v>0.22800000000000001</v>
      </c>
      <c r="H28" s="62" t="s">
        <v>436</v>
      </c>
      <c r="I28" s="62" t="s">
        <v>437</v>
      </c>
      <c r="J28" s="62" t="s">
        <v>438</v>
      </c>
      <c r="K28" s="62" t="s">
        <v>439</v>
      </c>
      <c r="L28" s="62" t="s">
        <v>440</v>
      </c>
      <c r="M28" s="62" t="s">
        <v>441</v>
      </c>
      <c r="N28" s="72" t="s">
        <v>1533</v>
      </c>
      <c r="O28" s="72" t="s">
        <v>1534</v>
      </c>
    </row>
    <row r="29" spans="1:15" ht="87" customHeight="1">
      <c r="A29" s="60">
        <v>26</v>
      </c>
      <c r="B29" s="61" t="s">
        <v>484</v>
      </c>
      <c r="C29" s="62" t="s">
        <v>402</v>
      </c>
      <c r="D29" s="62" t="s">
        <v>101</v>
      </c>
      <c r="E29" s="62" t="s">
        <v>134</v>
      </c>
      <c r="F29" s="62" t="s">
        <v>395</v>
      </c>
      <c r="G29" s="62">
        <v>0.22800000000000001</v>
      </c>
      <c r="H29" s="62" t="s">
        <v>485</v>
      </c>
      <c r="I29" s="62" t="s">
        <v>486</v>
      </c>
      <c r="J29" s="62" t="s">
        <v>487</v>
      </c>
      <c r="K29" s="62" t="s">
        <v>488</v>
      </c>
      <c r="L29" s="62" t="s">
        <v>489</v>
      </c>
      <c r="M29" s="62" t="s">
        <v>490</v>
      </c>
      <c r="N29" s="72" t="s">
        <v>1535</v>
      </c>
      <c r="O29" s="72" t="s">
        <v>1536</v>
      </c>
    </row>
    <row r="30" spans="1:15" ht="144.75" customHeight="1">
      <c r="A30" s="60">
        <v>27</v>
      </c>
      <c r="B30" s="61" t="s">
        <v>1062</v>
      </c>
      <c r="C30" s="62" t="s">
        <v>402</v>
      </c>
      <c r="D30" s="62" t="s">
        <v>106</v>
      </c>
      <c r="E30" s="62" t="s">
        <v>58</v>
      </c>
      <c r="F30" s="62" t="s">
        <v>351</v>
      </c>
      <c r="G30" s="62">
        <v>0.29399999999999998</v>
      </c>
      <c r="H30" s="62" t="s">
        <v>557</v>
      </c>
      <c r="I30" s="62" t="s">
        <v>1063</v>
      </c>
      <c r="J30" s="62" t="s">
        <v>1064</v>
      </c>
      <c r="K30" s="62" t="s">
        <v>1065</v>
      </c>
      <c r="L30" s="62" t="s">
        <v>1066</v>
      </c>
      <c r="M30" s="62" t="s">
        <v>1067</v>
      </c>
      <c r="N30" s="72" t="s">
        <v>1537</v>
      </c>
      <c r="O30" s="72" t="s">
        <v>1538</v>
      </c>
    </row>
    <row r="31" spans="1:15" ht="115.5" customHeight="1">
      <c r="A31" s="60">
        <v>28</v>
      </c>
      <c r="B31" s="61" t="s">
        <v>1214</v>
      </c>
      <c r="C31" s="62" t="s">
        <v>402</v>
      </c>
      <c r="D31" s="62" t="s">
        <v>88</v>
      </c>
      <c r="E31" s="62" t="s">
        <v>58</v>
      </c>
      <c r="F31" s="62" t="s">
        <v>351</v>
      </c>
      <c r="G31" s="62">
        <v>0.29399999999999998</v>
      </c>
      <c r="H31" s="62" t="s">
        <v>88</v>
      </c>
      <c r="I31" s="62" t="s">
        <v>1215</v>
      </c>
      <c r="J31" s="62" t="s">
        <v>1216</v>
      </c>
      <c r="K31" s="62" t="s">
        <v>1217</v>
      </c>
      <c r="L31" s="62" t="s">
        <v>1218</v>
      </c>
      <c r="M31" s="62" t="s">
        <v>1219</v>
      </c>
      <c r="N31" s="72" t="s">
        <v>1539</v>
      </c>
      <c r="O31" s="72" t="s">
        <v>1540</v>
      </c>
    </row>
    <row r="32" spans="1:15" ht="159" customHeight="1">
      <c r="A32" s="60">
        <v>29</v>
      </c>
      <c r="B32" s="61" t="s">
        <v>761</v>
      </c>
      <c r="C32" s="62" t="s">
        <v>402</v>
      </c>
      <c r="D32" s="62" t="s">
        <v>88</v>
      </c>
      <c r="E32" s="62" t="s">
        <v>44</v>
      </c>
      <c r="F32" s="62" t="s">
        <v>351</v>
      </c>
      <c r="G32" s="62">
        <v>0.10199999999999999</v>
      </c>
      <c r="H32" s="62" t="s">
        <v>762</v>
      </c>
      <c r="I32" s="62" t="s">
        <v>763</v>
      </c>
      <c r="J32" s="62" t="s">
        <v>764</v>
      </c>
      <c r="K32" s="62" t="s">
        <v>765</v>
      </c>
      <c r="L32" s="62" t="s">
        <v>766</v>
      </c>
      <c r="M32" s="62" t="s">
        <v>767</v>
      </c>
      <c r="N32" s="72" t="s">
        <v>1541</v>
      </c>
      <c r="O32" s="72" t="s">
        <v>1542</v>
      </c>
    </row>
    <row r="33" spans="1:15" ht="72.75" customHeight="1">
      <c r="A33" s="60">
        <v>30</v>
      </c>
      <c r="B33" s="61" t="s">
        <v>525</v>
      </c>
      <c r="C33" s="62" t="s">
        <v>402</v>
      </c>
      <c r="D33" s="62" t="s">
        <v>101</v>
      </c>
      <c r="E33" s="62" t="s">
        <v>131</v>
      </c>
      <c r="F33" s="62" t="s">
        <v>443</v>
      </c>
      <c r="G33" s="62">
        <v>6.0999999999999999E-2</v>
      </c>
      <c r="H33" s="62" t="s">
        <v>526</v>
      </c>
      <c r="I33" s="62" t="s">
        <v>527</v>
      </c>
      <c r="J33" s="62" t="s">
        <v>528</v>
      </c>
      <c r="K33" s="62" t="s">
        <v>529</v>
      </c>
      <c r="L33" s="62" t="s">
        <v>530</v>
      </c>
      <c r="M33" s="62" t="s">
        <v>531</v>
      </c>
      <c r="N33" s="72" t="s">
        <v>1543</v>
      </c>
      <c r="O33" s="72" t="s">
        <v>1544</v>
      </c>
    </row>
    <row r="34" spans="1:15" ht="72.75" customHeight="1">
      <c r="A34" s="60">
        <v>31</v>
      </c>
      <c r="B34" s="61" t="s">
        <v>563</v>
      </c>
      <c r="C34" s="62" t="s">
        <v>402</v>
      </c>
      <c r="D34" s="62" t="s">
        <v>106</v>
      </c>
      <c r="E34" s="62" t="s">
        <v>58</v>
      </c>
      <c r="F34" s="62" t="s">
        <v>395</v>
      </c>
      <c r="G34" s="62">
        <v>0.19700000000000001</v>
      </c>
      <c r="H34" s="62" t="s">
        <v>564</v>
      </c>
      <c r="I34" s="62" t="s">
        <v>565</v>
      </c>
      <c r="J34" s="62" t="s">
        <v>566</v>
      </c>
      <c r="K34" s="62" t="s">
        <v>567</v>
      </c>
      <c r="L34" s="62" t="s">
        <v>568</v>
      </c>
      <c r="M34" s="62" t="s">
        <v>569</v>
      </c>
      <c r="N34" s="72" t="s">
        <v>1545</v>
      </c>
      <c r="O34" s="72" t="s">
        <v>1546</v>
      </c>
    </row>
    <row r="35" spans="1:15" ht="159" customHeight="1">
      <c r="A35" s="60">
        <v>32</v>
      </c>
      <c r="B35" s="61" t="s">
        <v>1234</v>
      </c>
      <c r="C35" s="62" t="s">
        <v>402</v>
      </c>
      <c r="D35" s="62" t="s">
        <v>1235</v>
      </c>
      <c r="E35" s="62" t="s">
        <v>65</v>
      </c>
      <c r="F35" s="62" t="s">
        <v>395</v>
      </c>
      <c r="G35" s="62">
        <v>0.14399999999999999</v>
      </c>
      <c r="H35" s="62" t="s">
        <v>1236</v>
      </c>
      <c r="I35" s="62" t="s">
        <v>1237</v>
      </c>
      <c r="J35" s="62" t="s">
        <v>1238</v>
      </c>
      <c r="K35" s="62" t="s">
        <v>1239</v>
      </c>
      <c r="L35" s="62" t="s">
        <v>1240</v>
      </c>
      <c r="M35" s="62" t="s">
        <v>1241</v>
      </c>
      <c r="N35" s="72" t="s">
        <v>1547</v>
      </c>
      <c r="O35" s="72" t="s">
        <v>1548</v>
      </c>
    </row>
    <row r="36" spans="1:15" ht="130.5" customHeight="1">
      <c r="A36" s="60">
        <v>33</v>
      </c>
      <c r="B36" s="61" t="s">
        <v>775</v>
      </c>
      <c r="C36" s="62" t="s">
        <v>402</v>
      </c>
      <c r="D36" s="62" t="s">
        <v>85</v>
      </c>
      <c r="E36" s="62" t="s">
        <v>65</v>
      </c>
      <c r="F36" s="62" t="s">
        <v>395</v>
      </c>
      <c r="G36" s="62">
        <v>0.14399999999999999</v>
      </c>
      <c r="H36" s="62" t="s">
        <v>776</v>
      </c>
      <c r="I36" s="62" t="s">
        <v>777</v>
      </c>
      <c r="J36" s="62" t="s">
        <v>778</v>
      </c>
      <c r="K36" s="62" t="s">
        <v>779</v>
      </c>
      <c r="L36" s="62" t="s">
        <v>780</v>
      </c>
      <c r="M36" s="62" t="s">
        <v>781</v>
      </c>
      <c r="N36" s="72" t="s">
        <v>1549</v>
      </c>
      <c r="O36" s="72" t="s">
        <v>1550</v>
      </c>
    </row>
    <row r="39" spans="1:15">
      <c r="A39" s="9" t="s">
        <v>1551</v>
      </c>
    </row>
    <row r="40" spans="1:15" ht="100.15" customHeight="1">
      <c r="A40" s="98" t="s">
        <v>1552</v>
      </c>
      <c r="B40" s="156"/>
      <c r="C40" s="156"/>
      <c r="D40" s="156"/>
      <c r="E40" s="156"/>
      <c r="F40" s="156"/>
      <c r="G40" s="156"/>
      <c r="H40" s="156"/>
      <c r="I40" s="156"/>
      <c r="J40" s="156"/>
      <c r="K40" s="156"/>
      <c r="L40" s="156"/>
      <c r="M40" s="156"/>
      <c r="N40" s="156"/>
      <c r="O40" s="156"/>
    </row>
  </sheetData>
  <mergeCells count="3">
    <mergeCell ref="A40:O40"/>
    <mergeCell ref="A2:M2"/>
    <mergeCell ref="A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4"/>
  <sheetViews>
    <sheetView topLeftCell="H34" zoomScaleNormal="100" zoomScaleSheetLayoutView="100" workbookViewId="0">
      <selection activeCell="I39" sqref="I39"/>
    </sheetView>
  </sheetViews>
  <sheetFormatPr defaultColWidth="8.85546875" defaultRowHeight="14.45"/>
  <cols>
    <col min="1" max="10" width="35.7109375" customWidth="1"/>
  </cols>
  <sheetData>
    <row r="1" spans="1:10" ht="58.5" customHeight="1">
      <c r="A1" s="8" t="s">
        <v>339</v>
      </c>
      <c r="B1" s="8" t="s">
        <v>1553</v>
      </c>
      <c r="C1" s="8" t="s">
        <v>117</v>
      </c>
      <c r="D1" s="8" t="s">
        <v>116</v>
      </c>
      <c r="E1" s="8" t="s">
        <v>1554</v>
      </c>
      <c r="F1" s="8" t="s">
        <v>1555</v>
      </c>
      <c r="G1" s="8" t="s">
        <v>1556</v>
      </c>
      <c r="H1" s="8" t="s">
        <v>1557</v>
      </c>
      <c r="I1" s="8" t="s">
        <v>1558</v>
      </c>
      <c r="J1" s="8" t="s">
        <v>1559</v>
      </c>
    </row>
    <row r="2" spans="1:10" ht="204" customHeight="1">
      <c r="A2" s="86">
        <v>1</v>
      </c>
      <c r="B2" s="86" t="s">
        <v>349</v>
      </c>
      <c r="C2" s="86" t="s">
        <v>16</v>
      </c>
      <c r="D2" s="86" t="s">
        <v>351</v>
      </c>
      <c r="E2" s="86" t="s">
        <v>1560</v>
      </c>
      <c r="F2" s="86" t="s">
        <v>1561</v>
      </c>
      <c r="G2" s="86" t="s">
        <v>1562</v>
      </c>
      <c r="H2" s="86" t="s">
        <v>1563</v>
      </c>
      <c r="I2" s="86" t="s">
        <v>1564</v>
      </c>
      <c r="J2" s="86" t="s">
        <v>1565</v>
      </c>
    </row>
    <row r="3" spans="1:10" ht="170.25" customHeight="1">
      <c r="A3" s="86">
        <v>2</v>
      </c>
      <c r="B3" s="86" t="s">
        <v>357</v>
      </c>
      <c r="C3" s="86" t="s">
        <v>8</v>
      </c>
      <c r="D3" s="86" t="s">
        <v>351</v>
      </c>
      <c r="E3" s="86" t="s">
        <v>1566</v>
      </c>
      <c r="F3" s="86" t="s">
        <v>1567</v>
      </c>
      <c r="G3" s="86" t="s">
        <v>1568</v>
      </c>
      <c r="H3" s="86" t="s">
        <v>1569</v>
      </c>
      <c r="I3" s="86" t="s">
        <v>1570</v>
      </c>
      <c r="J3" s="86" t="s">
        <v>1571</v>
      </c>
    </row>
    <row r="4" spans="1:10" ht="320.25" customHeight="1">
      <c r="A4" s="86">
        <v>3</v>
      </c>
      <c r="B4" s="86" t="s">
        <v>363</v>
      </c>
      <c r="C4" s="86" t="s">
        <v>8</v>
      </c>
      <c r="D4" s="86" t="s">
        <v>351</v>
      </c>
      <c r="E4" s="86" t="s">
        <v>1572</v>
      </c>
      <c r="F4" s="86" t="s">
        <v>1573</v>
      </c>
      <c r="G4" s="86" t="s">
        <v>1574</v>
      </c>
      <c r="H4" s="86" t="s">
        <v>1575</v>
      </c>
      <c r="I4" s="86" t="s">
        <v>1576</v>
      </c>
      <c r="J4" s="86" t="s">
        <v>1577</v>
      </c>
    </row>
    <row r="5" spans="1:10" ht="409.6" customHeight="1">
      <c r="A5" s="86">
        <v>4</v>
      </c>
      <c r="B5" s="86" t="s">
        <v>369</v>
      </c>
      <c r="C5" s="86" t="s">
        <v>23</v>
      </c>
      <c r="D5" s="86" t="s">
        <v>351</v>
      </c>
      <c r="E5" s="86" t="s">
        <v>1578</v>
      </c>
      <c r="F5" s="86" t="s">
        <v>1579</v>
      </c>
      <c r="G5" s="86" t="s">
        <v>1580</v>
      </c>
      <c r="H5" s="86" t="s">
        <v>1581</v>
      </c>
      <c r="I5" s="86" t="s">
        <v>35</v>
      </c>
      <c r="J5" s="86" t="s">
        <v>1582</v>
      </c>
    </row>
    <row r="6" spans="1:10" ht="409.6" customHeight="1">
      <c r="A6" s="86">
        <v>5</v>
      </c>
      <c r="B6" s="86" t="s">
        <v>375</v>
      </c>
      <c r="C6" s="86" t="s">
        <v>134</v>
      </c>
      <c r="D6" s="86" t="s">
        <v>351</v>
      </c>
      <c r="E6" s="86" t="s">
        <v>1583</v>
      </c>
      <c r="F6" s="86" t="s">
        <v>1584</v>
      </c>
      <c r="G6" s="86" t="s">
        <v>1585</v>
      </c>
      <c r="H6" s="86" t="s">
        <v>1586</v>
      </c>
      <c r="I6" s="86" t="s">
        <v>1587</v>
      </c>
      <c r="J6" s="86" t="s">
        <v>1588</v>
      </c>
    </row>
    <row r="7" spans="1:10" ht="409.6" customHeight="1">
      <c r="A7" s="86">
        <v>6</v>
      </c>
      <c r="B7" s="86" t="s">
        <v>381</v>
      </c>
      <c r="C7" s="86" t="s">
        <v>30</v>
      </c>
      <c r="D7" s="86" t="s">
        <v>351</v>
      </c>
      <c r="E7" s="86" t="s">
        <v>1589</v>
      </c>
      <c r="F7" s="86" t="s">
        <v>1590</v>
      </c>
      <c r="G7" s="86" t="s">
        <v>1591</v>
      </c>
      <c r="H7" s="86" t="s">
        <v>1592</v>
      </c>
      <c r="I7" s="86" t="s">
        <v>1593</v>
      </c>
      <c r="J7" s="86" t="s">
        <v>1594</v>
      </c>
    </row>
    <row r="8" spans="1:10" ht="409.6" customHeight="1">
      <c r="A8" s="86">
        <v>7</v>
      </c>
      <c r="B8" s="86" t="s">
        <v>388</v>
      </c>
      <c r="C8" s="86" t="s">
        <v>58</v>
      </c>
      <c r="D8" s="86" t="s">
        <v>351</v>
      </c>
      <c r="E8" s="86" t="s">
        <v>1595</v>
      </c>
      <c r="F8" s="86" t="s">
        <v>1596</v>
      </c>
      <c r="G8" s="86" t="s">
        <v>1597</v>
      </c>
      <c r="H8" s="86" t="s">
        <v>1598</v>
      </c>
      <c r="I8" s="86" t="s">
        <v>1599</v>
      </c>
      <c r="J8" s="86" t="s">
        <v>1571</v>
      </c>
    </row>
    <row r="9" spans="1:10" ht="409.6" customHeight="1">
      <c r="A9" s="86">
        <v>8</v>
      </c>
      <c r="B9" s="86" t="s">
        <v>394</v>
      </c>
      <c r="C9" s="86" t="s">
        <v>65</v>
      </c>
      <c r="D9" s="86" t="s">
        <v>395</v>
      </c>
      <c r="E9" s="86" t="s">
        <v>1600</v>
      </c>
      <c r="F9" s="86" t="s">
        <v>1601</v>
      </c>
      <c r="G9" s="86" t="s">
        <v>1602</v>
      </c>
      <c r="H9" s="86" t="s">
        <v>1603</v>
      </c>
      <c r="I9" s="86" t="s">
        <v>1604</v>
      </c>
      <c r="J9" s="86" t="s">
        <v>1605</v>
      </c>
    </row>
    <row r="10" spans="1:10" ht="409.6" customHeight="1">
      <c r="A10" s="86">
        <v>9</v>
      </c>
      <c r="B10" s="86" t="s">
        <v>401</v>
      </c>
      <c r="C10" s="86" t="s">
        <v>23</v>
      </c>
      <c r="D10" s="86" t="s">
        <v>351</v>
      </c>
      <c r="E10" s="86" t="s">
        <v>1606</v>
      </c>
      <c r="F10" s="86" t="s">
        <v>1607</v>
      </c>
      <c r="G10" s="86" t="s">
        <v>1608</v>
      </c>
      <c r="H10" s="86" t="s">
        <v>1609</v>
      </c>
      <c r="I10" s="86" t="s">
        <v>28</v>
      </c>
      <c r="J10" s="86" t="s">
        <v>1610</v>
      </c>
    </row>
    <row r="11" spans="1:10" ht="409.6" customHeight="1">
      <c r="A11" s="86">
        <v>10</v>
      </c>
      <c r="B11" s="86" t="s">
        <v>471</v>
      </c>
      <c r="C11" s="86" t="s">
        <v>23</v>
      </c>
      <c r="D11" s="86" t="s">
        <v>351</v>
      </c>
      <c r="E11" s="86" t="s">
        <v>1611</v>
      </c>
      <c r="F11" s="86" t="s">
        <v>1612</v>
      </c>
      <c r="G11" s="86" t="s">
        <v>1613</v>
      </c>
      <c r="H11" s="86" t="s">
        <v>1614</v>
      </c>
      <c r="I11" s="86" t="s">
        <v>1604</v>
      </c>
      <c r="J11" s="86" t="s">
        <v>1571</v>
      </c>
    </row>
    <row r="12" spans="1:10" ht="409.6" customHeight="1">
      <c r="A12" s="86">
        <v>11</v>
      </c>
      <c r="B12" s="86" t="s">
        <v>1013</v>
      </c>
      <c r="C12" s="86" t="s">
        <v>23</v>
      </c>
      <c r="D12" s="86" t="s">
        <v>351</v>
      </c>
      <c r="E12" s="86" t="s">
        <v>1615</v>
      </c>
      <c r="F12" s="86" t="s">
        <v>1616</v>
      </c>
      <c r="G12" s="86" t="s">
        <v>1617</v>
      </c>
      <c r="H12" s="86" t="s">
        <v>1618</v>
      </c>
      <c r="I12" s="86" t="s">
        <v>1619</v>
      </c>
      <c r="J12" s="86" t="s">
        <v>1571</v>
      </c>
    </row>
    <row r="13" spans="1:10" ht="409.6" customHeight="1">
      <c r="A13" s="86">
        <v>12</v>
      </c>
      <c r="B13" s="86" t="s">
        <v>1172</v>
      </c>
      <c r="C13" s="86" t="s">
        <v>16</v>
      </c>
      <c r="D13" s="86" t="s">
        <v>351</v>
      </c>
      <c r="E13" s="86" t="s">
        <v>1620</v>
      </c>
      <c r="F13" s="86" t="s">
        <v>1621</v>
      </c>
      <c r="G13" s="86" t="s">
        <v>1622</v>
      </c>
      <c r="H13" s="86" t="s">
        <v>1623</v>
      </c>
      <c r="I13" s="86" t="s">
        <v>1624</v>
      </c>
      <c r="J13" s="86" t="s">
        <v>1625</v>
      </c>
    </row>
    <row r="14" spans="1:10" ht="409.6" customHeight="1">
      <c r="A14" s="86">
        <v>13</v>
      </c>
      <c r="B14" s="86" t="s">
        <v>713</v>
      </c>
      <c r="C14" s="86" t="s">
        <v>16</v>
      </c>
      <c r="D14" s="86" t="s">
        <v>351</v>
      </c>
      <c r="E14" s="86" t="s">
        <v>1626</v>
      </c>
      <c r="F14" s="86" t="s">
        <v>1627</v>
      </c>
      <c r="G14" s="86" t="s">
        <v>1628</v>
      </c>
      <c r="H14" s="86" t="s">
        <v>1629</v>
      </c>
      <c r="I14" s="86" t="s">
        <v>21</v>
      </c>
      <c r="J14" s="86" t="s">
        <v>1625</v>
      </c>
    </row>
    <row r="15" spans="1:10" ht="409.6" customHeight="1">
      <c r="A15" s="86">
        <v>14</v>
      </c>
      <c r="B15" s="86" t="s">
        <v>478</v>
      </c>
      <c r="C15" s="86" t="s">
        <v>16</v>
      </c>
      <c r="D15" s="86" t="s">
        <v>351</v>
      </c>
      <c r="E15" s="86" t="s">
        <v>1630</v>
      </c>
      <c r="F15" s="86" t="s">
        <v>1631</v>
      </c>
      <c r="G15" s="86" t="s">
        <v>1632</v>
      </c>
      <c r="H15" s="86" t="s">
        <v>1633</v>
      </c>
      <c r="I15" s="86" t="s">
        <v>70</v>
      </c>
      <c r="J15" s="86" t="s">
        <v>1571</v>
      </c>
    </row>
    <row r="16" spans="1:10" ht="409.6" customHeight="1">
      <c r="A16" s="86">
        <v>15</v>
      </c>
      <c r="B16" s="86" t="s">
        <v>537</v>
      </c>
      <c r="C16" s="86" t="s">
        <v>16</v>
      </c>
      <c r="D16" s="86" t="s">
        <v>351</v>
      </c>
      <c r="E16" s="86" t="s">
        <v>1634</v>
      </c>
      <c r="F16" s="86" t="s">
        <v>1635</v>
      </c>
      <c r="G16" s="86" t="s">
        <v>1636</v>
      </c>
      <c r="H16" s="86" t="s">
        <v>1637</v>
      </c>
      <c r="I16" s="86" t="s">
        <v>1564</v>
      </c>
      <c r="J16" s="86" t="s">
        <v>1571</v>
      </c>
    </row>
    <row r="17" spans="1:10" ht="409.6" customHeight="1">
      <c r="A17" s="86">
        <v>16</v>
      </c>
      <c r="B17" s="86" t="s">
        <v>596</v>
      </c>
      <c r="C17" s="86" t="s">
        <v>51</v>
      </c>
      <c r="D17" s="86" t="s">
        <v>395</v>
      </c>
      <c r="E17" s="86" t="s">
        <v>1638</v>
      </c>
      <c r="F17" s="86" t="s">
        <v>1639</v>
      </c>
      <c r="G17" s="86" t="s">
        <v>1640</v>
      </c>
      <c r="H17" s="86" t="s">
        <v>1641</v>
      </c>
      <c r="I17" s="86" t="s">
        <v>1642</v>
      </c>
      <c r="J17" s="86" t="s">
        <v>1643</v>
      </c>
    </row>
    <row r="18" spans="1:10" ht="409.6" customHeight="1">
      <c r="A18" s="86">
        <v>17</v>
      </c>
      <c r="B18" s="86" t="s">
        <v>720</v>
      </c>
      <c r="C18" s="86" t="s">
        <v>51</v>
      </c>
      <c r="D18" s="86" t="s">
        <v>395</v>
      </c>
      <c r="E18" s="86" t="s">
        <v>1644</v>
      </c>
      <c r="F18" s="86" t="s">
        <v>1645</v>
      </c>
      <c r="G18" s="86" t="s">
        <v>1646</v>
      </c>
      <c r="H18" s="86" t="s">
        <v>1647</v>
      </c>
      <c r="I18" s="86" t="s">
        <v>1648</v>
      </c>
      <c r="J18" s="86" t="s">
        <v>1571</v>
      </c>
    </row>
    <row r="19" spans="1:10" ht="409.6" customHeight="1">
      <c r="A19" s="86">
        <v>18</v>
      </c>
      <c r="B19" s="86" t="s">
        <v>505</v>
      </c>
      <c r="C19" s="86" t="s">
        <v>72</v>
      </c>
      <c r="D19" s="86" t="s">
        <v>395</v>
      </c>
      <c r="E19" s="86" t="s">
        <v>1649</v>
      </c>
      <c r="F19" s="86" t="s">
        <v>1650</v>
      </c>
      <c r="G19" s="86" t="s">
        <v>1651</v>
      </c>
      <c r="H19" s="86" t="s">
        <v>1652</v>
      </c>
      <c r="I19" s="86" t="s">
        <v>1653</v>
      </c>
      <c r="J19" s="86" t="s">
        <v>1643</v>
      </c>
    </row>
    <row r="20" spans="1:10" ht="409.6" customHeight="1">
      <c r="A20" s="86">
        <v>19</v>
      </c>
      <c r="B20" s="86" t="s">
        <v>1117</v>
      </c>
      <c r="C20" s="86" t="s">
        <v>8</v>
      </c>
      <c r="D20" s="86" t="s">
        <v>351</v>
      </c>
      <c r="E20" s="86" t="s">
        <v>1654</v>
      </c>
      <c r="F20" s="86" t="s">
        <v>1655</v>
      </c>
      <c r="G20" s="86" t="s">
        <v>1656</v>
      </c>
      <c r="H20" s="86" t="s">
        <v>1657</v>
      </c>
      <c r="I20" s="86" t="s">
        <v>1576</v>
      </c>
      <c r="J20" s="86" t="s">
        <v>1658</v>
      </c>
    </row>
    <row r="21" spans="1:10" ht="409.6" customHeight="1">
      <c r="A21" s="86">
        <v>20</v>
      </c>
      <c r="B21" s="86" t="s">
        <v>1193</v>
      </c>
      <c r="C21" s="86" t="s">
        <v>8</v>
      </c>
      <c r="D21" s="86" t="s">
        <v>351</v>
      </c>
      <c r="E21" s="86" t="s">
        <v>1659</v>
      </c>
      <c r="F21" s="86" t="s">
        <v>1660</v>
      </c>
      <c r="G21" s="86" t="s">
        <v>1661</v>
      </c>
      <c r="H21" s="86" t="s">
        <v>1662</v>
      </c>
      <c r="I21" s="86" t="s">
        <v>1663</v>
      </c>
      <c r="J21" s="86" t="s">
        <v>1571</v>
      </c>
    </row>
    <row r="22" spans="1:10" ht="409.6" customHeight="1">
      <c r="A22" s="86">
        <v>21</v>
      </c>
      <c r="B22" s="86" t="s">
        <v>409</v>
      </c>
      <c r="C22" s="86" t="s">
        <v>8</v>
      </c>
      <c r="D22" s="86" t="s">
        <v>351</v>
      </c>
      <c r="E22" s="86" t="s">
        <v>1664</v>
      </c>
      <c r="F22" s="86" t="s">
        <v>1665</v>
      </c>
      <c r="G22" s="86" t="s">
        <v>1666</v>
      </c>
      <c r="H22" s="86" t="s">
        <v>1667</v>
      </c>
      <c r="I22" s="86" t="s">
        <v>1668</v>
      </c>
      <c r="J22" s="86" t="s">
        <v>1669</v>
      </c>
    </row>
    <row r="23" spans="1:10" ht="409.6" customHeight="1">
      <c r="A23" s="86">
        <v>22</v>
      </c>
      <c r="B23" s="86" t="s">
        <v>894</v>
      </c>
      <c r="C23" s="86" t="s">
        <v>30</v>
      </c>
      <c r="D23" s="86" t="s">
        <v>351</v>
      </c>
      <c r="E23" s="86" t="s">
        <v>1670</v>
      </c>
      <c r="F23" s="86" t="s">
        <v>1671</v>
      </c>
      <c r="G23" s="86" t="s">
        <v>1672</v>
      </c>
      <c r="H23" s="86" t="s">
        <v>1673</v>
      </c>
      <c r="I23" s="86" t="s">
        <v>35</v>
      </c>
      <c r="J23" s="86" t="s">
        <v>1582</v>
      </c>
    </row>
    <row r="24" spans="1:10" ht="409.6" customHeight="1">
      <c r="A24" s="86">
        <v>23</v>
      </c>
      <c r="B24" s="86" t="s">
        <v>1048</v>
      </c>
      <c r="C24" s="86" t="s">
        <v>30</v>
      </c>
      <c r="D24" s="86" t="s">
        <v>351</v>
      </c>
      <c r="E24" s="86" t="s">
        <v>1674</v>
      </c>
      <c r="F24" s="86" t="s">
        <v>1675</v>
      </c>
      <c r="G24" s="86" t="s">
        <v>1676</v>
      </c>
      <c r="H24" s="86" t="s">
        <v>1677</v>
      </c>
      <c r="I24" s="86" t="s">
        <v>35</v>
      </c>
      <c r="J24" s="86" t="s">
        <v>1582</v>
      </c>
    </row>
    <row r="25" spans="1:10" ht="409.6" customHeight="1">
      <c r="A25" s="86">
        <v>24</v>
      </c>
      <c r="B25" s="86" t="s">
        <v>1207</v>
      </c>
      <c r="C25" s="86" t="s">
        <v>134</v>
      </c>
      <c r="D25" s="86" t="s">
        <v>395</v>
      </c>
      <c r="E25" s="86" t="s">
        <v>1583</v>
      </c>
      <c r="F25" s="86" t="s">
        <v>1678</v>
      </c>
      <c r="G25" s="86" t="s">
        <v>1679</v>
      </c>
      <c r="H25" s="86" t="s">
        <v>1680</v>
      </c>
      <c r="I25" s="86" t="s">
        <v>1587</v>
      </c>
      <c r="J25" s="86" t="s">
        <v>1571</v>
      </c>
    </row>
    <row r="26" spans="1:10" ht="409.6" customHeight="1">
      <c r="A26" s="86">
        <v>25</v>
      </c>
      <c r="B26" s="86" t="s">
        <v>435</v>
      </c>
      <c r="C26" s="86" t="s">
        <v>134</v>
      </c>
      <c r="D26" s="86" t="s">
        <v>395</v>
      </c>
      <c r="E26" s="86" t="s">
        <v>1583</v>
      </c>
      <c r="F26" s="86" t="s">
        <v>1681</v>
      </c>
      <c r="G26" s="86" t="s">
        <v>1682</v>
      </c>
      <c r="H26" s="86" t="s">
        <v>1683</v>
      </c>
      <c r="I26" s="86" t="s">
        <v>1587</v>
      </c>
      <c r="J26" s="86" t="s">
        <v>1571</v>
      </c>
    </row>
    <row r="27" spans="1:10" ht="409.6" customHeight="1">
      <c r="A27" s="86">
        <v>26</v>
      </c>
      <c r="B27" s="86" t="s">
        <v>484</v>
      </c>
      <c r="C27" s="86" t="s">
        <v>134</v>
      </c>
      <c r="D27" s="86" t="s">
        <v>395</v>
      </c>
      <c r="E27" s="86" t="s">
        <v>1684</v>
      </c>
      <c r="F27" s="86" t="s">
        <v>1685</v>
      </c>
      <c r="G27" s="86" t="s">
        <v>1686</v>
      </c>
      <c r="H27" s="86" t="s">
        <v>1687</v>
      </c>
      <c r="I27" s="86" t="s">
        <v>1604</v>
      </c>
      <c r="J27" s="86" t="s">
        <v>1571</v>
      </c>
    </row>
    <row r="28" spans="1:10" ht="409.6" customHeight="1">
      <c r="A28" s="86">
        <v>27</v>
      </c>
      <c r="B28" s="86" t="s">
        <v>1062</v>
      </c>
      <c r="C28" s="86" t="s">
        <v>58</v>
      </c>
      <c r="D28" s="86" t="s">
        <v>351</v>
      </c>
      <c r="E28" s="86" t="s">
        <v>1688</v>
      </c>
      <c r="F28" s="86" t="s">
        <v>1689</v>
      </c>
      <c r="G28" s="86" t="s">
        <v>1690</v>
      </c>
      <c r="H28" s="86" t="s">
        <v>1691</v>
      </c>
      <c r="I28" s="86" t="s">
        <v>1599</v>
      </c>
      <c r="J28" s="86" t="s">
        <v>1571</v>
      </c>
    </row>
    <row r="29" spans="1:10" ht="409.6" customHeight="1">
      <c r="A29" s="86">
        <v>28</v>
      </c>
      <c r="B29" s="86" t="s">
        <v>1214</v>
      </c>
      <c r="C29" s="86" t="s">
        <v>58</v>
      </c>
      <c r="D29" s="86" t="s">
        <v>351</v>
      </c>
      <c r="E29" s="86" t="s">
        <v>1692</v>
      </c>
      <c r="F29" s="86" t="s">
        <v>1693</v>
      </c>
      <c r="G29" s="86" t="s">
        <v>1694</v>
      </c>
      <c r="H29" s="86" t="s">
        <v>1695</v>
      </c>
      <c r="I29" s="86" t="s">
        <v>1599</v>
      </c>
      <c r="J29" s="86" t="s">
        <v>1571</v>
      </c>
    </row>
    <row r="30" spans="1:10" ht="409.6" customHeight="1">
      <c r="A30" s="86">
        <v>29</v>
      </c>
      <c r="B30" s="86" t="s">
        <v>761</v>
      </c>
      <c r="C30" s="86" t="s">
        <v>44</v>
      </c>
      <c r="D30" s="86" t="s">
        <v>351</v>
      </c>
      <c r="E30" s="86" t="s">
        <v>1696</v>
      </c>
      <c r="F30" s="86" t="s">
        <v>1697</v>
      </c>
      <c r="G30" s="86" t="s">
        <v>1698</v>
      </c>
      <c r="H30" s="86" t="s">
        <v>1699</v>
      </c>
      <c r="I30" s="86" t="s">
        <v>56</v>
      </c>
      <c r="J30" s="86" t="s">
        <v>1700</v>
      </c>
    </row>
    <row r="31" spans="1:10" ht="409.6" customHeight="1">
      <c r="A31" s="86">
        <v>30</v>
      </c>
      <c r="B31" s="86" t="s">
        <v>525</v>
      </c>
      <c r="C31" s="86" t="s">
        <v>131</v>
      </c>
      <c r="D31" s="86" t="s">
        <v>443</v>
      </c>
      <c r="E31" s="86" t="s">
        <v>1701</v>
      </c>
      <c r="F31" s="86" t="s">
        <v>1702</v>
      </c>
      <c r="G31" s="86" t="s">
        <v>1703</v>
      </c>
      <c r="H31" s="86" t="s">
        <v>1704</v>
      </c>
      <c r="I31" s="86" t="s">
        <v>70</v>
      </c>
      <c r="J31" s="86" t="s">
        <v>1571</v>
      </c>
    </row>
    <row r="32" spans="1:10" ht="409.6" customHeight="1">
      <c r="A32" s="86">
        <v>31</v>
      </c>
      <c r="B32" s="86" t="s">
        <v>563</v>
      </c>
      <c r="C32" s="86" t="s">
        <v>58</v>
      </c>
      <c r="D32" s="86" t="s">
        <v>395</v>
      </c>
      <c r="E32" s="86" t="s">
        <v>1705</v>
      </c>
      <c r="F32" s="86" t="s">
        <v>1706</v>
      </c>
      <c r="G32" s="86" t="s">
        <v>1707</v>
      </c>
      <c r="H32" s="86" t="s">
        <v>1708</v>
      </c>
      <c r="I32" s="86" t="s">
        <v>1599</v>
      </c>
      <c r="J32" s="86" t="s">
        <v>1571</v>
      </c>
    </row>
    <row r="33" spans="1:10" ht="409.6" customHeight="1">
      <c r="A33" s="86">
        <v>32</v>
      </c>
      <c r="B33" s="86" t="s">
        <v>1234</v>
      </c>
      <c r="C33" s="86" t="s">
        <v>65</v>
      </c>
      <c r="D33" s="86" t="s">
        <v>395</v>
      </c>
      <c r="E33" s="86" t="s">
        <v>1583</v>
      </c>
      <c r="F33" s="86" t="s">
        <v>1709</v>
      </c>
      <c r="G33" s="86" t="s">
        <v>1710</v>
      </c>
      <c r="H33" s="86" t="s">
        <v>1711</v>
      </c>
      <c r="I33" s="86" t="s">
        <v>1587</v>
      </c>
      <c r="J33" s="86" t="s">
        <v>1571</v>
      </c>
    </row>
    <row r="34" spans="1:10" ht="409.6" customHeight="1">
      <c r="A34" s="86">
        <v>33</v>
      </c>
      <c r="B34" s="86" t="s">
        <v>775</v>
      </c>
      <c r="C34" s="86" t="s">
        <v>65</v>
      </c>
      <c r="D34" s="86" t="s">
        <v>395</v>
      </c>
      <c r="E34" s="86" t="s">
        <v>1712</v>
      </c>
      <c r="F34" s="86" t="s">
        <v>1713</v>
      </c>
      <c r="G34" s="86" t="s">
        <v>1714</v>
      </c>
      <c r="H34" s="86" t="s">
        <v>1715</v>
      </c>
      <c r="I34" s="86" t="s">
        <v>1587</v>
      </c>
      <c r="J34" s="86" t="s">
        <v>1571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0C1C-6D30-486C-9F9E-832E2F6650CF}">
  <dimension ref="A1:K19"/>
  <sheetViews>
    <sheetView topLeftCell="A3" workbookViewId="0">
      <selection activeCell="F2" sqref="F2"/>
    </sheetView>
  </sheetViews>
  <sheetFormatPr defaultRowHeight="15"/>
  <cols>
    <col min="1" max="1" width="12.85546875" customWidth="1"/>
    <col min="2" max="2" width="17.7109375" customWidth="1"/>
    <col min="3" max="3" width="13.140625" customWidth="1"/>
    <col min="4" max="4" width="16.28515625" customWidth="1"/>
    <col min="5" max="5" width="23.42578125" customWidth="1"/>
    <col min="6" max="6" width="28.5703125" customWidth="1"/>
    <col min="7" max="7" width="28" customWidth="1"/>
    <col min="8" max="8" width="32.42578125" customWidth="1"/>
    <col min="9" max="9" width="29.85546875" customWidth="1"/>
    <col min="10" max="10" width="30.42578125" customWidth="1"/>
  </cols>
  <sheetData>
    <row r="1" spans="1:11" ht="83.25">
      <c r="A1" s="131" t="s">
        <v>0</v>
      </c>
      <c r="B1" s="131" t="s">
        <v>1716</v>
      </c>
      <c r="C1" s="131" t="s">
        <v>341</v>
      </c>
      <c r="D1" s="131" t="s">
        <v>1717</v>
      </c>
      <c r="E1" s="131" t="s">
        <v>1718</v>
      </c>
      <c r="F1" s="131" t="s">
        <v>1719</v>
      </c>
      <c r="G1" s="131" t="s">
        <v>1720</v>
      </c>
      <c r="H1" s="131" t="s">
        <v>1721</v>
      </c>
      <c r="I1" s="131" t="s">
        <v>1722</v>
      </c>
      <c r="J1" s="131" t="s">
        <v>1723</v>
      </c>
      <c r="K1" s="10"/>
    </row>
    <row r="2" spans="1:11" ht="409.6">
      <c r="A2" s="132" t="s">
        <v>1724</v>
      </c>
      <c r="B2" s="132" t="s">
        <v>1725</v>
      </c>
      <c r="C2" s="133" t="s">
        <v>1726</v>
      </c>
      <c r="D2" s="132" t="s">
        <v>1727</v>
      </c>
      <c r="E2" s="132" t="s">
        <v>1728</v>
      </c>
      <c r="F2" s="132" t="s">
        <v>1729</v>
      </c>
      <c r="G2" s="132" t="s">
        <v>1730</v>
      </c>
      <c r="H2" s="132" t="s">
        <v>1731</v>
      </c>
      <c r="I2" s="132" t="s">
        <v>1732</v>
      </c>
      <c r="J2" s="132" t="s">
        <v>1733</v>
      </c>
      <c r="K2" s="10"/>
    </row>
    <row r="3" spans="1:11" ht="409.6">
      <c r="A3" s="134" t="s">
        <v>1624</v>
      </c>
      <c r="B3" s="134" t="s">
        <v>1734</v>
      </c>
      <c r="C3" s="133" t="s">
        <v>1726</v>
      </c>
      <c r="D3" s="134" t="s">
        <v>1735</v>
      </c>
      <c r="E3" s="134" t="s">
        <v>1736</v>
      </c>
      <c r="F3" s="134" t="s">
        <v>1737</v>
      </c>
      <c r="G3" s="134" t="s">
        <v>1738</v>
      </c>
      <c r="H3" s="134" t="s">
        <v>1739</v>
      </c>
      <c r="I3" s="134" t="s">
        <v>1740</v>
      </c>
      <c r="J3" s="134" t="s">
        <v>1741</v>
      </c>
      <c r="K3" s="10"/>
    </row>
    <row r="4" spans="1:11" ht="409.6">
      <c r="A4" s="132" t="s">
        <v>1564</v>
      </c>
      <c r="B4" s="132" t="s">
        <v>1742</v>
      </c>
      <c r="C4" s="135" t="s">
        <v>1743</v>
      </c>
      <c r="D4" s="132" t="s">
        <v>1744</v>
      </c>
      <c r="E4" s="132" t="s">
        <v>1745</v>
      </c>
      <c r="F4" s="132" t="s">
        <v>1746</v>
      </c>
      <c r="G4" s="132" t="s">
        <v>1747</v>
      </c>
      <c r="H4" s="132" t="s">
        <v>1748</v>
      </c>
      <c r="I4" s="132" t="s">
        <v>1749</v>
      </c>
      <c r="J4" s="132" t="s">
        <v>1750</v>
      </c>
      <c r="K4" s="10"/>
    </row>
    <row r="5" spans="1:11" ht="409.6">
      <c r="A5" s="134" t="s">
        <v>1648</v>
      </c>
      <c r="B5" s="134" t="s">
        <v>1751</v>
      </c>
      <c r="C5" s="135" t="s">
        <v>1743</v>
      </c>
      <c r="D5" s="134" t="s">
        <v>1752</v>
      </c>
      <c r="E5" s="134" t="s">
        <v>1753</v>
      </c>
      <c r="F5" s="134" t="s">
        <v>1754</v>
      </c>
      <c r="G5" s="134" t="s">
        <v>1755</v>
      </c>
      <c r="H5" s="134" t="s">
        <v>1756</v>
      </c>
      <c r="I5" s="134" t="s">
        <v>1757</v>
      </c>
      <c r="J5" s="134" t="s">
        <v>1758</v>
      </c>
      <c r="K5" s="10"/>
    </row>
    <row r="6" spans="1:11" ht="409.6">
      <c r="A6" s="132" t="s">
        <v>56</v>
      </c>
      <c r="B6" s="132" t="s">
        <v>1759</v>
      </c>
      <c r="C6" s="135" t="s">
        <v>1743</v>
      </c>
      <c r="D6" s="132" t="s">
        <v>1760</v>
      </c>
      <c r="E6" s="132" t="s">
        <v>1761</v>
      </c>
      <c r="F6" s="132" t="s">
        <v>1762</v>
      </c>
      <c r="G6" s="132" t="s">
        <v>1763</v>
      </c>
      <c r="H6" s="132" t="s">
        <v>1764</v>
      </c>
      <c r="I6" s="132" t="s">
        <v>1765</v>
      </c>
      <c r="J6" s="132" t="s">
        <v>1766</v>
      </c>
      <c r="K6" s="10"/>
    </row>
    <row r="7" spans="1:11" ht="409.6">
      <c r="A7" s="134" t="s">
        <v>28</v>
      </c>
      <c r="B7" s="134" t="s">
        <v>1767</v>
      </c>
      <c r="C7" s="133" t="s">
        <v>1726</v>
      </c>
      <c r="D7" s="134" t="s">
        <v>1768</v>
      </c>
      <c r="E7" s="134" t="s">
        <v>1769</v>
      </c>
      <c r="F7" s="134" t="s">
        <v>1770</v>
      </c>
      <c r="G7" s="134" t="s">
        <v>1771</v>
      </c>
      <c r="H7" s="134" t="s">
        <v>1772</v>
      </c>
      <c r="I7" s="134" t="s">
        <v>1773</v>
      </c>
      <c r="J7" s="134" t="s">
        <v>1774</v>
      </c>
      <c r="K7" s="10"/>
    </row>
    <row r="8" spans="1:11" ht="409.6">
      <c r="A8" s="132" t="s">
        <v>35</v>
      </c>
      <c r="B8" s="132" t="s">
        <v>1775</v>
      </c>
      <c r="C8" s="133" t="s">
        <v>1726</v>
      </c>
      <c r="D8" s="132" t="s">
        <v>1776</v>
      </c>
      <c r="E8" s="132" t="s">
        <v>1777</v>
      </c>
      <c r="F8" s="132" t="s">
        <v>1778</v>
      </c>
      <c r="G8" s="132" t="s">
        <v>1779</v>
      </c>
      <c r="H8" s="132" t="s">
        <v>1780</v>
      </c>
      <c r="I8" s="132" t="s">
        <v>1781</v>
      </c>
      <c r="J8" s="132" t="s">
        <v>1782</v>
      </c>
      <c r="K8" s="10"/>
    </row>
    <row r="9" spans="1:11" ht="409.6">
      <c r="A9" s="134" t="s">
        <v>1604</v>
      </c>
      <c r="B9" s="134" t="s">
        <v>1783</v>
      </c>
      <c r="C9" s="135" t="s">
        <v>1743</v>
      </c>
      <c r="D9" s="134" t="s">
        <v>1784</v>
      </c>
      <c r="E9" s="134" t="s">
        <v>1785</v>
      </c>
      <c r="F9" s="134" t="s">
        <v>1786</v>
      </c>
      <c r="G9" s="134" t="s">
        <v>1787</v>
      </c>
      <c r="H9" s="134" t="s">
        <v>1788</v>
      </c>
      <c r="I9" s="134" t="s">
        <v>1789</v>
      </c>
      <c r="J9" s="134" t="s">
        <v>1790</v>
      </c>
      <c r="K9" s="10"/>
    </row>
    <row r="10" spans="1:11" ht="409.6">
      <c r="A10" s="132" t="s">
        <v>1791</v>
      </c>
      <c r="B10" s="132" t="s">
        <v>1792</v>
      </c>
      <c r="C10" s="133" t="s">
        <v>1726</v>
      </c>
      <c r="D10" s="132" t="s">
        <v>1793</v>
      </c>
      <c r="E10" s="132" t="s">
        <v>1794</v>
      </c>
      <c r="F10" s="132" t="s">
        <v>1795</v>
      </c>
      <c r="G10" s="132" t="s">
        <v>1796</v>
      </c>
      <c r="H10" s="132" t="s">
        <v>1797</v>
      </c>
      <c r="I10" s="132" t="s">
        <v>1798</v>
      </c>
      <c r="J10" s="132" t="s">
        <v>1799</v>
      </c>
      <c r="K10" s="10"/>
    </row>
    <row r="11" spans="1:11" ht="409.6">
      <c r="A11" s="134" t="s">
        <v>1668</v>
      </c>
      <c r="B11" s="134" t="s">
        <v>1800</v>
      </c>
      <c r="C11" s="133" t="s">
        <v>1726</v>
      </c>
      <c r="D11" s="134" t="s">
        <v>1801</v>
      </c>
      <c r="E11" s="134" t="s">
        <v>1802</v>
      </c>
      <c r="F11" s="134" t="s">
        <v>1803</v>
      </c>
      <c r="G11" s="134" t="s">
        <v>1804</v>
      </c>
      <c r="H11" s="134" t="s">
        <v>1805</v>
      </c>
      <c r="I11" s="134" t="s">
        <v>1806</v>
      </c>
      <c r="J11" s="134" t="s">
        <v>1807</v>
      </c>
      <c r="K11" s="10"/>
    </row>
    <row r="12" spans="1:11" ht="409.6">
      <c r="A12" s="132" t="s">
        <v>1599</v>
      </c>
      <c r="B12" s="132" t="s">
        <v>1808</v>
      </c>
      <c r="C12" s="133" t="s">
        <v>1726</v>
      </c>
      <c r="D12" s="132" t="s">
        <v>1809</v>
      </c>
      <c r="E12" s="132" t="s">
        <v>1810</v>
      </c>
      <c r="F12" s="132" t="s">
        <v>1811</v>
      </c>
      <c r="G12" s="132" t="s">
        <v>1812</v>
      </c>
      <c r="H12" s="132" t="s">
        <v>1813</v>
      </c>
      <c r="I12" s="132" t="s">
        <v>1814</v>
      </c>
      <c r="J12" s="132" t="s">
        <v>1815</v>
      </c>
      <c r="K12" s="10"/>
    </row>
    <row r="13" spans="1:11" ht="409.6">
      <c r="A13" s="134" t="s">
        <v>1816</v>
      </c>
      <c r="B13" s="134" t="s">
        <v>1817</v>
      </c>
      <c r="C13" s="133" t="s">
        <v>1726</v>
      </c>
      <c r="D13" s="134" t="s">
        <v>1818</v>
      </c>
      <c r="E13" s="134" t="s">
        <v>1819</v>
      </c>
      <c r="F13" s="134" t="s">
        <v>1820</v>
      </c>
      <c r="G13" s="134" t="s">
        <v>1821</v>
      </c>
      <c r="H13" s="134" t="s">
        <v>1822</v>
      </c>
      <c r="I13" s="134" t="s">
        <v>1823</v>
      </c>
      <c r="J13" s="134" t="s">
        <v>1824</v>
      </c>
      <c r="K13" s="10"/>
    </row>
    <row r="14" spans="1:11" ht="409.6">
      <c r="A14" s="132" t="s">
        <v>1825</v>
      </c>
      <c r="B14" s="132" t="s">
        <v>1826</v>
      </c>
      <c r="C14" s="133" t="s">
        <v>1726</v>
      </c>
      <c r="D14" s="132" t="s">
        <v>1827</v>
      </c>
      <c r="E14" s="132" t="s">
        <v>1828</v>
      </c>
      <c r="F14" s="132" t="s">
        <v>1829</v>
      </c>
      <c r="G14" s="132" t="s">
        <v>1830</v>
      </c>
      <c r="H14" s="132" t="s">
        <v>1831</v>
      </c>
      <c r="I14" s="132" t="s">
        <v>1832</v>
      </c>
      <c r="J14" s="132" t="s">
        <v>1833</v>
      </c>
      <c r="K14" s="10"/>
    </row>
    <row r="15" spans="1:11" ht="409.6">
      <c r="A15" s="134" t="s">
        <v>1834</v>
      </c>
      <c r="B15" s="134" t="s">
        <v>1835</v>
      </c>
      <c r="C15" s="133" t="s">
        <v>1726</v>
      </c>
      <c r="D15" s="134" t="s">
        <v>1836</v>
      </c>
      <c r="E15" s="134" t="s">
        <v>1837</v>
      </c>
      <c r="F15" s="134" t="s">
        <v>1838</v>
      </c>
      <c r="G15" s="134" t="s">
        <v>1839</v>
      </c>
      <c r="H15" s="134" t="s">
        <v>1840</v>
      </c>
      <c r="I15" s="134" t="s">
        <v>1841</v>
      </c>
      <c r="J15" s="134" t="s">
        <v>1842</v>
      </c>
      <c r="K15" s="10"/>
    </row>
    <row r="16" spans="1:11" ht="409.6">
      <c r="A16" s="132" t="s">
        <v>1843</v>
      </c>
      <c r="B16" s="132" t="s">
        <v>1844</v>
      </c>
      <c r="C16" s="133" t="s">
        <v>1726</v>
      </c>
      <c r="D16" s="132" t="s">
        <v>1845</v>
      </c>
      <c r="E16" s="132" t="s">
        <v>1846</v>
      </c>
      <c r="F16" s="132" t="s">
        <v>1847</v>
      </c>
      <c r="G16" s="132" t="s">
        <v>1848</v>
      </c>
      <c r="H16" s="132" t="s">
        <v>1849</v>
      </c>
      <c r="I16" s="132" t="s">
        <v>1850</v>
      </c>
      <c r="J16" s="132" t="s">
        <v>1851</v>
      </c>
      <c r="K16" s="10"/>
    </row>
    <row r="17" spans="1:11" ht="409.6">
      <c r="A17" s="134" t="s">
        <v>1852</v>
      </c>
      <c r="B17" s="134" t="s">
        <v>1853</v>
      </c>
      <c r="C17" s="133" t="s">
        <v>1726</v>
      </c>
      <c r="D17" s="134" t="s">
        <v>1854</v>
      </c>
      <c r="E17" s="134" t="s">
        <v>1855</v>
      </c>
      <c r="F17" s="134" t="s">
        <v>1856</v>
      </c>
      <c r="G17" s="134" t="s">
        <v>1857</v>
      </c>
      <c r="H17" s="134" t="s">
        <v>1858</v>
      </c>
      <c r="I17" s="134" t="s">
        <v>1859</v>
      </c>
      <c r="J17" s="134" t="s">
        <v>1860</v>
      </c>
      <c r="K17" s="10"/>
    </row>
    <row r="18" spans="1:11" ht="409.6">
      <c r="A18" s="132" t="s">
        <v>1861</v>
      </c>
      <c r="B18" s="132" t="s">
        <v>1862</v>
      </c>
      <c r="C18" s="133" t="s">
        <v>1726</v>
      </c>
      <c r="D18" s="132" t="s">
        <v>1863</v>
      </c>
      <c r="E18" s="132" t="s">
        <v>1864</v>
      </c>
      <c r="F18" s="132" t="s">
        <v>1865</v>
      </c>
      <c r="G18" s="132" t="s">
        <v>1866</v>
      </c>
      <c r="H18" s="132" t="s">
        <v>1867</v>
      </c>
      <c r="I18" s="132" t="s">
        <v>1868</v>
      </c>
      <c r="J18" s="132" t="s">
        <v>1869</v>
      </c>
      <c r="K18" s="10"/>
    </row>
    <row r="19" spans="1:11">
      <c r="A19" s="10"/>
      <c r="B19" s="10"/>
      <c r="C19" s="10"/>
      <c r="D19" s="10"/>
      <c r="E19" s="10"/>
      <c r="F19" s="10"/>
      <c r="G19" s="10"/>
      <c r="H19" s="10"/>
      <c r="I19" s="10"/>
      <c r="J19"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50870-3705-4146-8D15-00E028307E1E}">
  <dimension ref="A1:F17"/>
  <sheetViews>
    <sheetView workbookViewId="0">
      <selection activeCell="D30" sqref="D30"/>
    </sheetView>
  </sheetViews>
  <sheetFormatPr defaultRowHeight="15"/>
  <cols>
    <col min="1" max="1" width="18.85546875" customWidth="1"/>
    <col min="2" max="2" width="17.7109375" customWidth="1"/>
    <col min="3" max="3" width="19.42578125" customWidth="1"/>
    <col min="4" max="4" width="15" customWidth="1"/>
    <col min="5" max="5" width="21.28515625" customWidth="1"/>
  </cols>
  <sheetData>
    <row r="1" spans="1:6" ht="18.75">
      <c r="A1" s="136" t="s">
        <v>1870</v>
      </c>
      <c r="B1" s="136"/>
      <c r="C1" s="136"/>
      <c r="D1" s="136"/>
      <c r="E1" s="136"/>
      <c r="F1" s="10"/>
    </row>
    <row r="2" spans="1:6">
      <c r="A2" s="137"/>
      <c r="B2" s="137"/>
      <c r="C2" s="137"/>
      <c r="D2" s="137"/>
      <c r="E2" s="137"/>
      <c r="F2" s="10"/>
    </row>
    <row r="3" spans="1:6" ht="30.75">
      <c r="A3" s="138" t="s">
        <v>1871</v>
      </c>
      <c r="B3" s="138" t="s">
        <v>1872</v>
      </c>
      <c r="C3" s="138" t="s">
        <v>1873</v>
      </c>
      <c r="D3" s="138" t="s">
        <v>1558</v>
      </c>
      <c r="E3" s="138" t="s">
        <v>1874</v>
      </c>
      <c r="F3" s="10"/>
    </row>
    <row r="4" spans="1:6" ht="152.25">
      <c r="A4" s="139" t="s">
        <v>1875</v>
      </c>
      <c r="B4" s="139" t="s">
        <v>1876</v>
      </c>
      <c r="C4" s="139" t="s">
        <v>1877</v>
      </c>
      <c r="D4" s="139" t="s">
        <v>1564</v>
      </c>
      <c r="E4" s="139" t="s">
        <v>1878</v>
      </c>
      <c r="F4" s="10"/>
    </row>
    <row r="5" spans="1:6" ht="106.5">
      <c r="A5" s="139" t="s">
        <v>1879</v>
      </c>
      <c r="B5" s="139" t="s">
        <v>1880</v>
      </c>
      <c r="C5" s="139" t="s">
        <v>1881</v>
      </c>
      <c r="D5" s="139" t="s">
        <v>42</v>
      </c>
      <c r="E5" s="139" t="s">
        <v>1882</v>
      </c>
      <c r="F5" s="10"/>
    </row>
    <row r="6" spans="1:6" ht="152.25">
      <c r="A6" s="139" t="s">
        <v>1883</v>
      </c>
      <c r="B6" s="139" t="s">
        <v>1884</v>
      </c>
      <c r="C6" s="139" t="s">
        <v>1885</v>
      </c>
      <c r="D6" s="139" t="s">
        <v>1791</v>
      </c>
      <c r="E6" s="139" t="s">
        <v>1886</v>
      </c>
      <c r="F6" s="10"/>
    </row>
    <row r="7" spans="1:6" ht="152.25">
      <c r="A7" s="139" t="s">
        <v>1887</v>
      </c>
      <c r="B7" s="139" t="s">
        <v>1888</v>
      </c>
      <c r="C7" s="139" t="s">
        <v>1889</v>
      </c>
      <c r="D7" s="139" t="s">
        <v>1604</v>
      </c>
      <c r="E7" s="139" t="s">
        <v>1890</v>
      </c>
      <c r="F7" s="10"/>
    </row>
    <row r="8" spans="1:6" ht="137.25">
      <c r="A8" s="139" t="s">
        <v>1891</v>
      </c>
      <c r="B8" s="139" t="s">
        <v>1892</v>
      </c>
      <c r="C8" s="139" t="s">
        <v>1893</v>
      </c>
      <c r="D8" s="139" t="s">
        <v>56</v>
      </c>
      <c r="E8" s="139" t="s">
        <v>1894</v>
      </c>
      <c r="F8" s="10"/>
    </row>
    <row r="9" spans="1:6" ht="106.5">
      <c r="A9" s="139" t="s">
        <v>1895</v>
      </c>
      <c r="B9" s="139" t="s">
        <v>1896</v>
      </c>
      <c r="C9" s="139" t="s">
        <v>1897</v>
      </c>
      <c r="D9" s="139" t="s">
        <v>1593</v>
      </c>
      <c r="E9" s="139" t="s">
        <v>1898</v>
      </c>
      <c r="F9" s="10"/>
    </row>
    <row r="10" spans="1:6" ht="152.25">
      <c r="A10" s="139" t="s">
        <v>1899</v>
      </c>
      <c r="B10" s="139" t="s">
        <v>1900</v>
      </c>
      <c r="C10" s="139" t="s">
        <v>1901</v>
      </c>
      <c r="D10" s="139" t="s">
        <v>35</v>
      </c>
      <c r="E10" s="139" t="s">
        <v>1902</v>
      </c>
      <c r="F10" s="10"/>
    </row>
    <row r="11" spans="1:6" ht="121.5">
      <c r="A11" s="139" t="s">
        <v>1903</v>
      </c>
      <c r="B11" s="139" t="s">
        <v>1904</v>
      </c>
      <c r="C11" s="139" t="s">
        <v>1905</v>
      </c>
      <c r="D11" s="139" t="s">
        <v>28</v>
      </c>
      <c r="E11" s="139" t="s">
        <v>1906</v>
      </c>
      <c r="F11" s="10"/>
    </row>
    <row r="12" spans="1:6" ht="167.25">
      <c r="A12" s="139" t="s">
        <v>1907</v>
      </c>
      <c r="B12" s="139" t="s">
        <v>1908</v>
      </c>
      <c r="C12" s="139" t="s">
        <v>1909</v>
      </c>
      <c r="D12" s="139" t="s">
        <v>63</v>
      </c>
      <c r="E12" s="139" t="s">
        <v>1910</v>
      </c>
      <c r="F12" s="10"/>
    </row>
    <row r="13" spans="1:6" ht="137.25">
      <c r="A13" s="139" t="s">
        <v>1911</v>
      </c>
      <c r="B13" s="139" t="s">
        <v>1912</v>
      </c>
      <c r="C13" s="139" t="s">
        <v>1913</v>
      </c>
      <c r="D13" s="139" t="s">
        <v>1599</v>
      </c>
      <c r="E13" s="139" t="s">
        <v>1914</v>
      </c>
      <c r="F13" s="10"/>
    </row>
    <row r="14" spans="1:6" ht="137.25">
      <c r="A14" s="139" t="s">
        <v>1915</v>
      </c>
      <c r="B14" s="139" t="s">
        <v>1916</v>
      </c>
      <c r="C14" s="139" t="s">
        <v>1917</v>
      </c>
      <c r="D14" s="139" t="s">
        <v>1648</v>
      </c>
      <c r="E14" s="139" t="s">
        <v>1918</v>
      </c>
      <c r="F14" s="10"/>
    </row>
    <row r="15" spans="1:6" ht="152.25">
      <c r="A15" s="139" t="s">
        <v>1919</v>
      </c>
      <c r="B15" s="139" t="s">
        <v>1920</v>
      </c>
      <c r="C15" s="139" t="s">
        <v>1921</v>
      </c>
      <c r="D15" s="139" t="s">
        <v>13</v>
      </c>
      <c r="E15" s="139" t="s">
        <v>1922</v>
      </c>
      <c r="F15" s="10"/>
    </row>
    <row r="16" spans="1:6" ht="183.75">
      <c r="A16" s="140" t="s">
        <v>1923</v>
      </c>
      <c r="B16" s="140" t="s">
        <v>1924</v>
      </c>
      <c r="C16" s="140" t="s">
        <v>1925</v>
      </c>
      <c r="D16" s="140" t="s">
        <v>1724</v>
      </c>
      <c r="E16" s="140" t="s">
        <v>1926</v>
      </c>
      <c r="F16" s="10"/>
    </row>
    <row r="17" spans="1:5">
      <c r="A17" s="10"/>
      <c r="B17" s="10"/>
      <c r="C17" s="10"/>
      <c r="D17" s="10"/>
      <c r="E17" s="10"/>
    </row>
  </sheetData>
  <mergeCells count="1">
    <mergeCell ref="A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600D-B5D5-4CE5-94AC-859F242D72C2}">
  <dimension ref="A1:M10"/>
  <sheetViews>
    <sheetView tabSelected="1" workbookViewId="0">
      <selection activeCell="F4" sqref="F4"/>
    </sheetView>
  </sheetViews>
  <sheetFormatPr defaultRowHeight="15"/>
  <cols>
    <col min="2" max="2" width="14.7109375" customWidth="1"/>
    <col min="3" max="3" width="16.5703125" customWidth="1"/>
    <col min="4" max="4" width="20.140625" customWidth="1"/>
    <col min="5" max="5" width="21.28515625" customWidth="1"/>
    <col min="6" max="6" width="20" customWidth="1"/>
    <col min="7" max="7" width="19.85546875" customWidth="1"/>
    <col min="8" max="8" width="18.42578125" customWidth="1"/>
    <col min="9" max="9" width="17.42578125" customWidth="1"/>
    <col min="10" max="10" width="16" customWidth="1"/>
    <col min="11" max="11" width="17.140625" customWidth="1"/>
    <col min="12" max="12" width="15.7109375" customWidth="1"/>
  </cols>
  <sheetData>
    <row r="1" spans="1:13" ht="18.75">
      <c r="A1" s="142" t="s">
        <v>1927</v>
      </c>
      <c r="B1" s="142"/>
      <c r="C1" s="142"/>
      <c r="D1" s="142"/>
      <c r="E1" s="142"/>
      <c r="F1" s="142"/>
      <c r="G1" s="142"/>
      <c r="H1" s="142"/>
      <c r="I1" s="142"/>
      <c r="J1" s="142"/>
      <c r="K1" s="142"/>
      <c r="L1" s="142"/>
      <c r="M1" s="10"/>
    </row>
    <row r="2" spans="1:13">
      <c r="A2" s="137"/>
      <c r="B2" s="137"/>
      <c r="C2" s="137"/>
      <c r="D2" s="137"/>
      <c r="E2" s="137"/>
      <c r="F2" s="137"/>
      <c r="G2" s="137"/>
      <c r="H2" s="137"/>
      <c r="I2" s="137"/>
      <c r="J2" s="137"/>
      <c r="K2" s="137"/>
      <c r="L2" s="137"/>
      <c r="M2" s="10"/>
    </row>
    <row r="3" spans="1:13" ht="91.5">
      <c r="A3" s="143" t="s">
        <v>116</v>
      </c>
      <c r="B3" s="143" t="s">
        <v>1928</v>
      </c>
      <c r="C3" s="143" t="s">
        <v>1871</v>
      </c>
      <c r="D3" s="143" t="s">
        <v>1929</v>
      </c>
      <c r="E3" s="143" t="s">
        <v>1930</v>
      </c>
      <c r="F3" s="143" t="s">
        <v>1931</v>
      </c>
      <c r="G3" s="143" t="s">
        <v>1932</v>
      </c>
      <c r="H3" s="143" t="s">
        <v>1558</v>
      </c>
      <c r="I3" s="143" t="s">
        <v>1933</v>
      </c>
      <c r="J3" s="143" t="s">
        <v>1934</v>
      </c>
      <c r="K3" s="143" t="s">
        <v>1935</v>
      </c>
      <c r="L3" s="143" t="s">
        <v>341</v>
      </c>
      <c r="M3" s="10"/>
    </row>
    <row r="4" spans="1:13" ht="409.6">
      <c r="A4" s="144">
        <v>1</v>
      </c>
      <c r="B4" s="144" t="s">
        <v>1936</v>
      </c>
      <c r="C4" s="144" t="s">
        <v>1937</v>
      </c>
      <c r="D4" s="144" t="s">
        <v>1938</v>
      </c>
      <c r="E4" s="144" t="s">
        <v>1939</v>
      </c>
      <c r="F4" s="144" t="s">
        <v>1940</v>
      </c>
      <c r="G4" s="144" t="s">
        <v>1941</v>
      </c>
      <c r="H4" s="144" t="s">
        <v>1791</v>
      </c>
      <c r="I4" s="144" t="s">
        <v>1942</v>
      </c>
      <c r="J4" s="144" t="s">
        <v>1883</v>
      </c>
      <c r="K4" s="144" t="s">
        <v>1943</v>
      </c>
      <c r="L4" s="144" t="s">
        <v>1944</v>
      </c>
      <c r="M4" s="10"/>
    </row>
    <row r="5" spans="1:13" ht="366">
      <c r="A5" s="139">
        <v>2</v>
      </c>
      <c r="B5" s="139" t="s">
        <v>1945</v>
      </c>
      <c r="C5" s="139" t="s">
        <v>1946</v>
      </c>
      <c r="D5" s="139" t="s">
        <v>1947</v>
      </c>
      <c r="E5" s="139" t="s">
        <v>1948</v>
      </c>
      <c r="F5" s="139" t="s">
        <v>1949</v>
      </c>
      <c r="G5" s="139" t="s">
        <v>1950</v>
      </c>
      <c r="H5" s="139" t="s">
        <v>35</v>
      </c>
      <c r="I5" s="139" t="s">
        <v>1951</v>
      </c>
      <c r="J5" s="139" t="s">
        <v>1899</v>
      </c>
      <c r="K5" s="139" t="s">
        <v>1952</v>
      </c>
      <c r="L5" s="139" t="s">
        <v>1953</v>
      </c>
      <c r="M5" s="10"/>
    </row>
    <row r="6" spans="1:13" ht="336">
      <c r="A6" s="139">
        <v>3</v>
      </c>
      <c r="B6" s="139" t="s">
        <v>1945</v>
      </c>
      <c r="C6" s="139" t="s">
        <v>1954</v>
      </c>
      <c r="D6" s="139" t="s">
        <v>1955</v>
      </c>
      <c r="E6" s="139" t="s">
        <v>1956</v>
      </c>
      <c r="F6" s="139" t="s">
        <v>1957</v>
      </c>
      <c r="G6" s="139" t="s">
        <v>1958</v>
      </c>
      <c r="H6" s="139" t="s">
        <v>42</v>
      </c>
      <c r="I6" s="139" t="s">
        <v>1959</v>
      </c>
      <c r="J6" s="139" t="s">
        <v>1879</v>
      </c>
      <c r="K6" s="139" t="s">
        <v>1960</v>
      </c>
      <c r="L6" s="139" t="s">
        <v>1953</v>
      </c>
      <c r="M6" s="10"/>
    </row>
    <row r="7" spans="1:13" ht="381.75">
      <c r="A7" s="139">
        <v>4</v>
      </c>
      <c r="B7" s="139" t="s">
        <v>1936</v>
      </c>
      <c r="C7" s="139" t="s">
        <v>1961</v>
      </c>
      <c r="D7" s="139" t="s">
        <v>1962</v>
      </c>
      <c r="E7" s="139" t="s">
        <v>1963</v>
      </c>
      <c r="F7" s="139" t="s">
        <v>1964</v>
      </c>
      <c r="G7" s="139" t="s">
        <v>1965</v>
      </c>
      <c r="H7" s="139" t="s">
        <v>1604</v>
      </c>
      <c r="I7" s="139" t="s">
        <v>1966</v>
      </c>
      <c r="J7" s="139" t="s">
        <v>1887</v>
      </c>
      <c r="K7" s="139" t="s">
        <v>1967</v>
      </c>
      <c r="L7" s="139" t="s">
        <v>1953</v>
      </c>
      <c r="M7" s="10"/>
    </row>
    <row r="8" spans="1:13" ht="336">
      <c r="A8" s="139">
        <v>5</v>
      </c>
      <c r="B8" s="139" t="s">
        <v>1936</v>
      </c>
      <c r="C8" s="139" t="s">
        <v>1968</v>
      </c>
      <c r="D8" s="139" t="s">
        <v>1969</v>
      </c>
      <c r="E8" s="139" t="s">
        <v>1970</v>
      </c>
      <c r="F8" s="139" t="s">
        <v>1971</v>
      </c>
      <c r="G8" s="139" t="s">
        <v>1972</v>
      </c>
      <c r="H8" s="139" t="s">
        <v>56</v>
      </c>
      <c r="I8" s="139" t="s">
        <v>1973</v>
      </c>
      <c r="J8" s="139" t="s">
        <v>1891</v>
      </c>
      <c r="K8" s="139" t="s">
        <v>1974</v>
      </c>
      <c r="L8" s="139" t="s">
        <v>1953</v>
      </c>
      <c r="M8" s="10"/>
    </row>
    <row r="9" spans="1:13" ht="305.25">
      <c r="A9" s="139">
        <v>6</v>
      </c>
      <c r="B9" s="139" t="s">
        <v>1936</v>
      </c>
      <c r="C9" s="139" t="s">
        <v>1975</v>
      </c>
      <c r="D9" s="139" t="s">
        <v>1976</v>
      </c>
      <c r="E9" s="139" t="s">
        <v>1977</v>
      </c>
      <c r="F9" s="139" t="s">
        <v>1978</v>
      </c>
      <c r="G9" s="139" t="s">
        <v>1979</v>
      </c>
      <c r="H9" s="139" t="s">
        <v>56</v>
      </c>
      <c r="I9" s="139" t="s">
        <v>30</v>
      </c>
      <c r="J9" s="139" t="s">
        <v>1895</v>
      </c>
      <c r="K9" s="139" t="s">
        <v>1980</v>
      </c>
      <c r="L9" s="139" t="s">
        <v>1953</v>
      </c>
      <c r="M9" s="10"/>
    </row>
    <row r="10" spans="1:13">
      <c r="A10" s="10"/>
      <c r="B10" s="10"/>
      <c r="C10" s="10"/>
      <c r="D10" s="10"/>
      <c r="E10" s="10"/>
      <c r="F10" s="10"/>
      <c r="G10" s="10"/>
      <c r="H10" s="10"/>
      <c r="I10" s="10"/>
      <c r="J10" s="10"/>
      <c r="K10" s="10"/>
      <c r="L10" s="10"/>
    </row>
  </sheetData>
  <mergeCells count="1">
    <mergeCell ref="A1:L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7"/>
  <sheetViews>
    <sheetView topLeftCell="D1" zoomScaleNormal="100" zoomScaleSheetLayoutView="100" workbookViewId="0">
      <selection activeCell="F5" sqref="F5"/>
    </sheetView>
  </sheetViews>
  <sheetFormatPr defaultColWidth="8.85546875" defaultRowHeight="14.45"/>
  <cols>
    <col min="1" max="1" width="44" customWidth="1"/>
    <col min="2" max="2" width="28" customWidth="1"/>
    <col min="3" max="3" width="18" customWidth="1"/>
    <col min="4" max="4" width="50" customWidth="1"/>
    <col min="5" max="5" width="65" customWidth="1"/>
  </cols>
  <sheetData>
    <row r="1" spans="1:6" ht="26.45" customHeight="1">
      <c r="A1" s="85" t="s">
        <v>1981</v>
      </c>
      <c r="B1" s="85" t="s">
        <v>1982</v>
      </c>
      <c r="C1" s="141" t="s">
        <v>1983</v>
      </c>
      <c r="D1" s="84" t="s">
        <v>1984</v>
      </c>
      <c r="E1" s="84" t="s">
        <v>1985</v>
      </c>
      <c r="F1" s="10"/>
    </row>
    <row r="2" spans="1:6" ht="26.45" customHeight="1">
      <c r="A2" s="86" t="s">
        <v>1986</v>
      </c>
      <c r="B2" s="86" t="s">
        <v>16</v>
      </c>
      <c r="C2" s="91">
        <v>3</v>
      </c>
      <c r="D2" s="42" t="s">
        <v>1987</v>
      </c>
      <c r="E2" s="42" t="s">
        <v>1988</v>
      </c>
      <c r="F2" s="10"/>
    </row>
    <row r="3" spans="1:6" ht="26.45" customHeight="1">
      <c r="A3" s="86" t="s">
        <v>1989</v>
      </c>
      <c r="B3" s="86" t="s">
        <v>1990</v>
      </c>
      <c r="C3" s="91">
        <v>2</v>
      </c>
      <c r="D3" s="42" t="s">
        <v>41</v>
      </c>
      <c r="E3" s="42" t="s">
        <v>1991</v>
      </c>
      <c r="F3" s="10"/>
    </row>
    <row r="4" spans="1:6" ht="26.45" customHeight="1">
      <c r="A4" s="86" t="s">
        <v>1992</v>
      </c>
      <c r="B4" s="86" t="s">
        <v>1993</v>
      </c>
      <c r="C4" s="91">
        <v>3</v>
      </c>
      <c r="D4" s="42" t="s">
        <v>1994</v>
      </c>
      <c r="E4" s="42" t="s">
        <v>1995</v>
      </c>
      <c r="F4" s="10"/>
    </row>
    <row r="5" spans="1:6" ht="14.45" customHeight="1">
      <c r="A5" s="86" t="s">
        <v>1996</v>
      </c>
      <c r="B5" s="86" t="s">
        <v>8</v>
      </c>
      <c r="C5" s="91">
        <v>3</v>
      </c>
      <c r="D5" s="42" t="s">
        <v>1997</v>
      </c>
      <c r="E5" s="42" t="s">
        <v>1998</v>
      </c>
      <c r="F5" s="10"/>
    </row>
    <row r="6" spans="1:6" ht="26.45" customHeight="1">
      <c r="A6" s="86" t="s">
        <v>1999</v>
      </c>
      <c r="B6" s="86" t="s">
        <v>1951</v>
      </c>
      <c r="C6" s="91">
        <v>3</v>
      </c>
      <c r="D6" s="42" t="s">
        <v>34</v>
      </c>
      <c r="E6" s="42" t="s">
        <v>2000</v>
      </c>
      <c r="F6" s="10"/>
    </row>
    <row r="7" spans="1:6" ht="26.45" customHeight="1">
      <c r="A7" s="86" t="s">
        <v>2001</v>
      </c>
      <c r="B7" s="86" t="s">
        <v>2002</v>
      </c>
      <c r="C7" s="91">
        <v>2</v>
      </c>
      <c r="D7" s="42" t="s">
        <v>27</v>
      </c>
      <c r="E7" s="42" t="s">
        <v>2003</v>
      </c>
      <c r="F7" s="10"/>
    </row>
    <row r="8" spans="1:6" ht="14.45" customHeight="1">
      <c r="A8" s="86" t="s">
        <v>2004</v>
      </c>
      <c r="B8" s="86" t="s">
        <v>23</v>
      </c>
      <c r="C8" s="91">
        <v>2</v>
      </c>
      <c r="D8" s="42" t="s">
        <v>2005</v>
      </c>
      <c r="E8" s="42" t="s">
        <v>2006</v>
      </c>
      <c r="F8" s="10"/>
    </row>
    <row r="9" spans="1:6" ht="26.45" customHeight="1">
      <c r="A9" s="86" t="s">
        <v>2007</v>
      </c>
      <c r="B9" s="86" t="s">
        <v>2008</v>
      </c>
      <c r="C9" s="91">
        <v>4</v>
      </c>
      <c r="D9" s="42" t="s">
        <v>62</v>
      </c>
      <c r="E9" s="42" t="s">
        <v>2009</v>
      </c>
      <c r="F9" s="10"/>
    </row>
    <row r="10" spans="1:6" ht="26.45" customHeight="1">
      <c r="A10" s="86" t="s">
        <v>2010</v>
      </c>
      <c r="B10" s="86" t="s">
        <v>2011</v>
      </c>
      <c r="C10" s="91">
        <v>5</v>
      </c>
      <c r="D10" s="42" t="s">
        <v>2012</v>
      </c>
      <c r="E10" s="42" t="s">
        <v>2013</v>
      </c>
      <c r="F10" s="10"/>
    </row>
    <row r="11" spans="1:6" ht="14.45" customHeight="1">
      <c r="A11" s="86" t="s">
        <v>2014</v>
      </c>
      <c r="B11" s="86" t="s">
        <v>2015</v>
      </c>
      <c r="C11" s="91">
        <v>1</v>
      </c>
      <c r="D11" s="42" t="s">
        <v>394</v>
      </c>
      <c r="E11" s="42" t="s">
        <v>2016</v>
      </c>
      <c r="F11" s="10"/>
    </row>
    <row r="12" spans="1:6" ht="26.45" customHeight="1">
      <c r="A12" s="86" t="s">
        <v>2017</v>
      </c>
      <c r="B12" s="86" t="s">
        <v>44</v>
      </c>
      <c r="C12" s="91">
        <v>1</v>
      </c>
      <c r="D12" s="42" t="s">
        <v>761</v>
      </c>
      <c r="E12" s="42" t="s">
        <v>2018</v>
      </c>
      <c r="F12" s="10"/>
    </row>
    <row r="13" spans="1:6" ht="14.45" customHeight="1">
      <c r="A13" s="86" t="s">
        <v>2019</v>
      </c>
      <c r="B13" s="86" t="s">
        <v>30</v>
      </c>
      <c r="C13" s="91">
        <v>1</v>
      </c>
      <c r="D13" s="42" t="s">
        <v>381</v>
      </c>
      <c r="E13" s="42" t="s">
        <v>2020</v>
      </c>
      <c r="F13" s="10"/>
    </row>
    <row r="14" spans="1:6" ht="14.45" customHeight="1">
      <c r="A14" s="86" t="s">
        <v>1702</v>
      </c>
      <c r="B14" s="86" t="s">
        <v>131</v>
      </c>
      <c r="C14" s="91">
        <v>1</v>
      </c>
      <c r="D14" s="42" t="s">
        <v>525</v>
      </c>
      <c r="E14" s="42" t="s">
        <v>2021</v>
      </c>
      <c r="F14" s="10"/>
    </row>
    <row r="15" spans="1:6" ht="26.45" customHeight="1">
      <c r="A15" s="86" t="s">
        <v>2022</v>
      </c>
      <c r="B15" s="86" t="s">
        <v>2023</v>
      </c>
      <c r="C15" s="91">
        <v>1</v>
      </c>
      <c r="D15" s="42" t="s">
        <v>596</v>
      </c>
      <c r="E15" s="42" t="s">
        <v>2024</v>
      </c>
      <c r="F15" s="10"/>
    </row>
    <row r="16" spans="1:6" ht="112.5" customHeight="1">
      <c r="A16" s="86"/>
      <c r="B16" s="86"/>
      <c r="C16" s="86"/>
      <c r="D16" s="91"/>
      <c r="E16" s="91"/>
    </row>
    <row r="17" spans="1:5" ht="112.5" customHeight="1">
      <c r="A17" s="86"/>
      <c r="B17" s="86"/>
      <c r="C17" s="86"/>
      <c r="D17" s="86"/>
      <c r="E17" s="8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Sebastian Zapata Naranjo</cp:lastModifiedBy>
  <cp:revision/>
  <dcterms:created xsi:type="dcterms:W3CDTF">2026-09-09T23:16:32Z</dcterms:created>
  <dcterms:modified xsi:type="dcterms:W3CDTF">2026-09-23T02:10:13Z</dcterms:modified>
  <cp:category/>
  <cp:contentStatus/>
</cp:coreProperties>
</file>